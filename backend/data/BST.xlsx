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neksi Koridor" sheetId="1" r:id="rId5"/>
    <sheet state="visible" name="Sheet8" sheetId="2" r:id="rId6"/>
    <sheet state="visible" name="Sheet9" sheetId="3" r:id="rId7"/>
    <sheet state="visible" name="Sheet10" sheetId="4" r:id="rId8"/>
    <sheet state="visible" name="Waktu Tempuh" sheetId="5" r:id="rId9"/>
    <sheet state="visible" name="FIX LatLong" sheetId="6" r:id="rId10"/>
    <sheet state="visible" name="Sheet3" sheetId="7" r:id="rId11"/>
    <sheet state="visible" name="Kasaran" sheetId="8" r:id="rId12"/>
    <sheet state="visible" name="Geocoding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Insert address Ex: Calle aragon 233, Barcelona</t>
      </text>
    </comment>
    <comment authorId="0" ref="B1">
      <text>
        <t xml:space="preserve">To make more accurate results, define a country to limit the geographically results. 
 Use domain TLD. Ex: Spain -&gt; es 
 More info: https://es.wikipedia.org/wiki/Dominio_de_nivel_superior_geogr%C3%A1fico</t>
      </text>
    </comment>
    <comment authorId="0" ref="C1">
      <text>
        <t xml:space="preserve">Coordinates that will be generated</t>
      </text>
    </comment>
    <comment authorId="0" ref="D1">
      <text>
        <t xml:space="preserve">Address returned by Google Maps</t>
      </text>
    </comment>
  </commentList>
</comments>
</file>

<file path=xl/sharedStrings.xml><?xml version="1.0" encoding="utf-8"?>
<sst xmlns="http://schemas.openxmlformats.org/spreadsheetml/2006/main" count="4600" uniqueCount="738">
  <si>
    <t>Daftar koridor BST</t>
  </si>
  <si>
    <t>Koneksi Koridor pada Halte</t>
  </si>
  <si>
    <t>a</t>
  </si>
  <si>
    <t>No</t>
  </si>
  <si>
    <t>Koridor</t>
  </si>
  <si>
    <t>Nama Koridor</t>
  </si>
  <si>
    <t>Start - Akhir</t>
  </si>
  <si>
    <t>Halte</t>
  </si>
  <si>
    <t>Terminal Palur</t>
  </si>
  <si>
    <t>K1, K2, K4, K10</t>
  </si>
  <si>
    <t>K1</t>
  </si>
  <si>
    <t>K1SB</t>
  </si>
  <si>
    <t>Terminal Palur- Bandara AdiSoemarmo</t>
  </si>
  <si>
    <t>Hale plaza palur</t>
  </si>
  <si>
    <t>K2</t>
  </si>
  <si>
    <t>K2SB</t>
  </si>
  <si>
    <t>Terminal Palur - Stasiun Purwosari</t>
  </si>
  <si>
    <t>Halte Mitra Palur</t>
  </si>
  <si>
    <t>K3</t>
  </si>
  <si>
    <t>K3SB</t>
  </si>
  <si>
    <t>Terminal Kartasura - Taman Lansia</t>
  </si>
  <si>
    <t>K4</t>
  </si>
  <si>
    <t xml:space="preserve">Brigif </t>
  </si>
  <si>
    <t>K4SB</t>
  </si>
  <si>
    <t>Terminal Kartasura - Terminal Palur</t>
  </si>
  <si>
    <t>K10</t>
  </si>
  <si>
    <t>adiyasa</t>
  </si>
  <si>
    <t>K1, K4, K10</t>
  </si>
  <si>
    <t>K5</t>
  </si>
  <si>
    <t>K5SB</t>
  </si>
  <si>
    <t>Terminal Kartasura - Simpang Sidan</t>
  </si>
  <si>
    <t>Halte Plaza Palur</t>
  </si>
  <si>
    <t xml:space="preserve">asmi </t>
  </si>
  <si>
    <t>K6</t>
  </si>
  <si>
    <t>FD9</t>
  </si>
  <si>
    <t>Subter Taman Pelangi - Halte Subter Semanggi</t>
  </si>
  <si>
    <t>Halte Jurug 1</t>
  </si>
  <si>
    <t xml:space="preserve">K1, K4 </t>
  </si>
  <si>
    <t>K7</t>
  </si>
  <si>
    <t>FD8S</t>
  </si>
  <si>
    <t>Subter Taman Pelangi - Perempatan Pasar Legi</t>
  </si>
  <si>
    <t>Halte Jurug 2</t>
  </si>
  <si>
    <t>K1, K2, K4</t>
  </si>
  <si>
    <t>K8</t>
  </si>
  <si>
    <t>FD7</t>
  </si>
  <si>
    <t>RSUD Ngipang - Halte Pasar Klewer</t>
  </si>
  <si>
    <t>Halte Taman Lansia</t>
  </si>
  <si>
    <t>K3, K4</t>
  </si>
  <si>
    <t>K9</t>
  </si>
  <si>
    <t>FD12</t>
  </si>
  <si>
    <t>Halte Pasar Klewer - Lapangan RCTI Gentan</t>
  </si>
  <si>
    <t>Halte Gerbang belakang UNS</t>
  </si>
  <si>
    <t>FD10S</t>
  </si>
  <si>
    <t>Halte Pasar Klewer - Terminal Palur</t>
  </si>
  <si>
    <t>Halte Kecamatan Jebres</t>
  </si>
  <si>
    <t>Stikes aisiyah</t>
  </si>
  <si>
    <t>Halte TMP</t>
  </si>
  <si>
    <t>K1, K2</t>
  </si>
  <si>
    <t>Brigif</t>
  </si>
  <si>
    <t>halte UNS Selatan</t>
  </si>
  <si>
    <t>Halte TBS</t>
  </si>
  <si>
    <t>Halte Sekarpace</t>
  </si>
  <si>
    <t>Halte Cembengan</t>
  </si>
  <si>
    <t>Adiyasa</t>
  </si>
  <si>
    <t>Halte ThiongHing</t>
  </si>
  <si>
    <t>K1, K2, K3, K4</t>
  </si>
  <si>
    <t>SMA Muhammadiyah 3</t>
  </si>
  <si>
    <t>RS Moewardi</t>
  </si>
  <si>
    <t>Asmi</t>
  </si>
  <si>
    <t>Hermina</t>
  </si>
  <si>
    <t>Panggung</t>
  </si>
  <si>
    <t>Jebres</t>
  </si>
  <si>
    <t>K1, K3</t>
  </si>
  <si>
    <t>Halte Kandang Sapi Timur</t>
  </si>
  <si>
    <t>K4, K7</t>
  </si>
  <si>
    <t>Mesen</t>
  </si>
  <si>
    <t>Halte dr. retno</t>
  </si>
  <si>
    <t>K6, K7</t>
  </si>
  <si>
    <t>Timlo</t>
  </si>
  <si>
    <t>Subter Taman pelangi</t>
  </si>
  <si>
    <t>Halte SMK kristen 2</t>
  </si>
  <si>
    <t>Warung Pelem</t>
  </si>
  <si>
    <t>K1, K3, K8, K10</t>
  </si>
  <si>
    <t>Halte SMPN 4</t>
  </si>
  <si>
    <t>Pasar Gede</t>
  </si>
  <si>
    <t>Halte Patung Mayor ahmadi a</t>
  </si>
  <si>
    <t>Balaikota</t>
  </si>
  <si>
    <t>halte patung mayor ahmadi b</t>
  </si>
  <si>
    <t>Vestenburg</t>
  </si>
  <si>
    <t>halte kelurahan stabelan a</t>
  </si>
  <si>
    <t>Pasar Akik</t>
  </si>
  <si>
    <t>K8, K9, K10</t>
  </si>
  <si>
    <t>halte kelurahan stabelan b</t>
  </si>
  <si>
    <t>Alun-alun utara</t>
  </si>
  <si>
    <t>K3, K8, K9, K10</t>
  </si>
  <si>
    <t>K3 nya gatau deh bener apa gak</t>
  </si>
  <si>
    <t>smp widya wacana</t>
  </si>
  <si>
    <t>K7, K8</t>
  </si>
  <si>
    <t>Halte Gerbang Belakang UNS</t>
  </si>
  <si>
    <t>pasar kliwon</t>
  </si>
  <si>
    <t>Pasar Gading</t>
  </si>
  <si>
    <t>K5, K6, K9</t>
  </si>
  <si>
    <t>Halte Pasar Berasa</t>
  </si>
  <si>
    <t xml:space="preserve">Halte Perempatan Baturono </t>
  </si>
  <si>
    <t>K9, K6, K5</t>
  </si>
  <si>
    <t>PGS Selatan</t>
  </si>
  <si>
    <t>K8, K10</t>
  </si>
  <si>
    <t>Halte Luwes Gading A</t>
  </si>
  <si>
    <t>K5, K6</t>
  </si>
  <si>
    <t>Pasar Legi</t>
  </si>
  <si>
    <t>Halte SPBU Semanggi</t>
  </si>
  <si>
    <t>Hlate Kecamatan Jebres</t>
  </si>
  <si>
    <t>BTC Selatan</t>
  </si>
  <si>
    <t>Halte Luwes Gading B</t>
  </si>
  <si>
    <t>Subter Semanggi</t>
  </si>
  <si>
    <t>Luwes Sangkrah</t>
  </si>
  <si>
    <t>Halte Gemblegan Timur</t>
  </si>
  <si>
    <t>Stiker Aisiyah</t>
  </si>
  <si>
    <t>Pertigaan Lodji wetan</t>
  </si>
  <si>
    <t>Serengan</t>
  </si>
  <si>
    <t>K3, K9</t>
  </si>
  <si>
    <t>Telkom</t>
  </si>
  <si>
    <t>Notosuman</t>
  </si>
  <si>
    <t>K3, K5, K6</t>
  </si>
  <si>
    <t>Kantor Pos</t>
  </si>
  <si>
    <t>Halte Perempatan Kalilarangan</t>
  </si>
  <si>
    <t>K3, K6</t>
  </si>
  <si>
    <t>Halte Pasar Klewer</t>
  </si>
  <si>
    <t>K8, K9</t>
  </si>
  <si>
    <t xml:space="preserve">Halte Batik Keris </t>
  </si>
  <si>
    <t xml:space="preserve">K3, K5 </t>
  </si>
  <si>
    <t>Halte UNS Selatan</t>
  </si>
  <si>
    <t xml:space="preserve">Gladag </t>
  </si>
  <si>
    <t>Halte Singosaren</t>
  </si>
  <si>
    <t>Nonongan</t>
  </si>
  <si>
    <t>Halte Pasarkemmbang</t>
  </si>
  <si>
    <t>K6, K9</t>
  </si>
  <si>
    <t>Pasar Pon</t>
  </si>
  <si>
    <t>K1, K5</t>
  </si>
  <si>
    <t>Pasar Kadipolo</t>
  </si>
  <si>
    <t>Halte TBS Selatan</t>
  </si>
  <si>
    <t>Wisma Batari</t>
  </si>
  <si>
    <t>Timuran</t>
  </si>
  <si>
    <t xml:space="preserve">Ngapeman </t>
  </si>
  <si>
    <t>aku ambil dari ini bes yg udah ditulisin dina</t>
  </si>
  <si>
    <t>oalahh oke, eh nes itu kalau ada yang TBS tapi ada TBS selatan juga ditulisnya tetep TBS jadi satu??</t>
  </si>
  <si>
    <t>halte kelurahan timuran</t>
  </si>
  <si>
    <t>Terminal palur</t>
  </si>
  <si>
    <t>plaza palur</t>
  </si>
  <si>
    <t>mitra palur</t>
  </si>
  <si>
    <t>brigif</t>
  </si>
  <si>
    <t>ASMI</t>
  </si>
  <si>
    <t>jurug</t>
  </si>
  <si>
    <t>TMP</t>
  </si>
  <si>
    <t>UNS</t>
  </si>
  <si>
    <t>TBS</t>
  </si>
  <si>
    <t>Sekarpace</t>
  </si>
  <si>
    <t>Cembengan</t>
  </si>
  <si>
    <t>Thiongting 1</t>
  </si>
  <si>
    <t>Thiongting 2</t>
  </si>
  <si>
    <t>Thiongting 3</t>
  </si>
  <si>
    <t>Thiongting 4</t>
  </si>
  <si>
    <t>SMA Muhammadiyah 4</t>
  </si>
  <si>
    <t>SMA Muhammadiyah 5</t>
  </si>
  <si>
    <t>SMA Muhammadiyah 6</t>
  </si>
  <si>
    <t>panggung</t>
  </si>
  <si>
    <t>jebres</t>
  </si>
  <si>
    <t>mesen</t>
  </si>
  <si>
    <t>timlo</t>
  </si>
  <si>
    <t>warung pelem</t>
  </si>
  <si>
    <t>pasar gede</t>
  </si>
  <si>
    <t>balaikota</t>
  </si>
  <si>
    <t>vastenburg</t>
  </si>
  <si>
    <t>gladag</t>
  </si>
  <si>
    <t>nonongan</t>
  </si>
  <si>
    <t>pasar pon</t>
  </si>
  <si>
    <t>wisma batari</t>
  </si>
  <si>
    <t>timuran</t>
  </si>
  <si>
    <t>sriwedari 2</t>
  </si>
  <si>
    <t>sriwedari 1</t>
  </si>
  <si>
    <t>gendengan</t>
  </si>
  <si>
    <t>DKT</t>
  </si>
  <si>
    <t>rs karima</t>
  </si>
  <si>
    <t>terminal kartasura</t>
  </si>
  <si>
    <t>luwes kartasura</t>
  </si>
  <si>
    <t>klegen</t>
  </si>
  <si>
    <t>gereja colomadu</t>
  </si>
  <si>
    <t>pasar colomadu</t>
  </si>
  <si>
    <t>maria regina</t>
  </si>
  <si>
    <t>sekolah warga</t>
  </si>
  <si>
    <t>smp kristen 3</t>
  </si>
  <si>
    <t>kota barat</t>
  </si>
  <si>
    <t>smpn 24</t>
  </si>
  <si>
    <t>batikan</t>
  </si>
  <si>
    <t>pasar kabangan</t>
  </si>
  <si>
    <t>omah laweyan</t>
  </si>
  <si>
    <t>wangkung</t>
  </si>
  <si>
    <t>jongke</t>
  </si>
  <si>
    <t>serengan</t>
  </si>
  <si>
    <t>widya wacana</t>
  </si>
  <si>
    <t>Gemblegan</t>
  </si>
  <si>
    <t>notosuman</t>
  </si>
  <si>
    <t>kalilarangan</t>
  </si>
  <si>
    <t>batik keris</t>
  </si>
  <si>
    <t>stikes aisiyah</t>
  </si>
  <si>
    <t>solo techno park</t>
  </si>
  <si>
    <t>kecamatan jebres</t>
  </si>
  <si>
    <t xml:space="preserve">pintu belakang uns </t>
  </si>
  <si>
    <t>rs jiwa/taman lansia</t>
  </si>
  <si>
    <t>rs bhayangkara</t>
  </si>
  <si>
    <t>stadion manahan</t>
  </si>
  <si>
    <t>terminal tirtonadi</t>
  </si>
  <si>
    <t>Kandang Sapi timur</t>
  </si>
  <si>
    <t>luwes gading</t>
  </si>
  <si>
    <t>pasar gading</t>
  </si>
  <si>
    <t>baturono</t>
  </si>
  <si>
    <t>spbu semanggi</t>
  </si>
  <si>
    <t>sub terminal semanggi</t>
  </si>
  <si>
    <t>Subter Taman Pelangi</t>
  </si>
  <si>
    <t>smpn 4 a</t>
  </si>
  <si>
    <t>patung mayor ahmadi a</t>
  </si>
  <si>
    <t>smk kristen 2</t>
  </si>
  <si>
    <t>Keluruhan stabelan A</t>
  </si>
  <si>
    <t>Pasar Beras A</t>
  </si>
  <si>
    <t>Perempatan Pasar Legi</t>
  </si>
  <si>
    <t>pasar akik</t>
  </si>
  <si>
    <t>alun alun utara</t>
  </si>
  <si>
    <t>polsek pasar kliwon</t>
  </si>
  <si>
    <t>Pasar Klewer</t>
  </si>
  <si>
    <t>halte</t>
  </si>
  <si>
    <t>latitude</t>
  </si>
  <si>
    <t>longitude</t>
  </si>
  <si>
    <t>-7.5678014</t>
  </si>
  <si>
    <t>110.8737268</t>
  </si>
  <si>
    <t>-7.56826</t>
  </si>
  <si>
    <t>110.87167</t>
  </si>
  <si>
    <t>Thiongting</t>
  </si>
  <si>
    <t>center point</t>
  </si>
  <si>
    <t>sub terminal kerten</t>
  </si>
  <si>
    <t>korem</t>
  </si>
  <si>
    <t>faroka</t>
  </si>
  <si>
    <t>smk 2 batik</t>
  </si>
  <si>
    <t>relasi</t>
  </si>
  <si>
    <t>rs uns</t>
  </si>
  <si>
    <t>rs yarsis</t>
  </si>
  <si>
    <t>ums</t>
  </si>
  <si>
    <t>transmart</t>
  </si>
  <si>
    <t>smpn 2 kartasura</t>
  </si>
  <si>
    <t>goro mall</t>
  </si>
  <si>
    <t>gumpang</t>
  </si>
  <si>
    <t>suharti</t>
  </si>
  <si>
    <t>gembongan</t>
  </si>
  <si>
    <t>spbu gembongan</t>
  </si>
  <si>
    <t>sarwo motor</t>
  </si>
  <si>
    <t>smp muhammadiyah 1</t>
  </si>
  <si>
    <t>bri kartasura</t>
  </si>
  <si>
    <t>singopuran</t>
  </si>
  <si>
    <t>smp n 1 kartasura</t>
  </si>
  <si>
    <t>bulog</t>
  </si>
  <si>
    <t>AURI</t>
  </si>
  <si>
    <t>tanjungsari</t>
  </si>
  <si>
    <t>smpn 1 ngemplak</t>
  </si>
  <si>
    <t>bandara adi soemarmo</t>
  </si>
  <si>
    <t>margoyudan</t>
  </si>
  <si>
    <t>sd cemara</t>
  </si>
  <si>
    <t>spbu balapan</t>
  </si>
  <si>
    <t>stasiun solo balapan</t>
  </si>
  <si>
    <t>punggawan</t>
  </si>
  <si>
    <t>wonder</t>
  </si>
  <si>
    <t>sahid</t>
  </si>
  <si>
    <t>rs pku surakarta</t>
  </si>
  <si>
    <t>sma muhammadiyah 2</t>
  </si>
  <si>
    <t>yosodipuro</t>
  </si>
  <si>
    <t>paragon</t>
  </si>
  <si>
    <t>kasih ibu</t>
  </si>
  <si>
    <t>aston</t>
  </si>
  <si>
    <t>sd jamaatul ichwan</t>
  </si>
  <si>
    <t>UNIBA</t>
  </si>
  <si>
    <t>stasiun purwosari</t>
  </si>
  <si>
    <t>tugu kartasura</t>
  </si>
  <si>
    <t>pku kartasura</t>
  </si>
  <si>
    <t>pasar kartasura</t>
  </si>
  <si>
    <t>tugu keraton kartasura</t>
  </si>
  <si>
    <t>sidoramo</t>
  </si>
  <si>
    <t>superindo</t>
  </si>
  <si>
    <t>ngadirejo</t>
  </si>
  <si>
    <t>pasar gompang</t>
  </si>
  <si>
    <t>tyfountex pintu utama</t>
  </si>
  <si>
    <t>tyfountex pintu timur</t>
  </si>
  <si>
    <t>proyek bengawan</t>
  </si>
  <si>
    <t>masjid windan</t>
  </si>
  <si>
    <t>pracimaloyo</t>
  </si>
  <si>
    <t>makam haji</t>
  </si>
  <si>
    <t>tugu lilin</t>
  </si>
  <si>
    <t>ria miranda</t>
  </si>
  <si>
    <t>sabar motor</t>
  </si>
  <si>
    <t>baron barat</t>
  </si>
  <si>
    <t>baron timur</t>
  </si>
  <si>
    <t>laweyan</t>
  </si>
  <si>
    <t>BLK</t>
  </si>
  <si>
    <t xml:space="preserve">SMA N 7 </t>
  </si>
  <si>
    <t>lotte mart</t>
  </si>
  <si>
    <t>taspen</t>
  </si>
  <si>
    <t>gemblengan sampurna</t>
  </si>
  <si>
    <t>kantor kecamatan jebres</t>
  </si>
  <si>
    <t>kecamatan colomadu</t>
  </si>
  <si>
    <t>pom bensin utara</t>
  </si>
  <si>
    <t>koramil</t>
  </si>
  <si>
    <t>ypac utara</t>
  </si>
  <si>
    <t>jonggrang utara</t>
  </si>
  <si>
    <t>ihs utara</t>
  </si>
  <si>
    <t>atmi</t>
  </si>
  <si>
    <t>lor inn utara</t>
  </si>
  <si>
    <t>lapangan bulukan utara</t>
  </si>
  <si>
    <t>alana</t>
  </si>
  <si>
    <t>solo pos utara</t>
  </si>
  <si>
    <t>dprd utara</t>
  </si>
  <si>
    <t>adi sucipto barat 1</t>
  </si>
  <si>
    <t xml:space="preserve">adisucipto timur </t>
  </si>
  <si>
    <t>jajar</t>
  </si>
  <si>
    <t>ursulin</t>
  </si>
  <si>
    <t>smkn 4 surakarta</t>
  </si>
  <si>
    <t>RS Bhayangkara</t>
  </si>
  <si>
    <t>gedung wanita</t>
  </si>
  <si>
    <t>pom bensin manahan</t>
  </si>
  <si>
    <t>rs brayat</t>
  </si>
  <si>
    <t>dewa dewi</t>
  </si>
  <si>
    <t>pertigaan gilingan</t>
  </si>
  <si>
    <t>viaduk gilingan</t>
  </si>
  <si>
    <t>pasar ngemplak</t>
  </si>
  <si>
    <t>perempatan aub</t>
  </si>
  <si>
    <t>kandang sapi timur</t>
  </si>
  <si>
    <t>solo technopark</t>
  </si>
  <si>
    <t>pintu belakang uns</t>
  </si>
  <si>
    <t>taman lansia</t>
  </si>
  <si>
    <t>rusun jurug timur</t>
  </si>
  <si>
    <t>pasar buah jurug timur</t>
  </si>
  <si>
    <t>jurug 1</t>
  </si>
  <si>
    <t>gbi malangjiwan</t>
  </si>
  <si>
    <t>apotek kirana</t>
  </si>
  <si>
    <t>smp 1 gawanan</t>
  </si>
  <si>
    <t>smk adi soemarmo</t>
  </si>
  <si>
    <t>yakkum</t>
  </si>
  <si>
    <t>garasi bst</t>
  </si>
  <si>
    <t>afkis</t>
  </si>
  <si>
    <t>soto sawah</t>
  </si>
  <si>
    <t>puskesmas colomadu</t>
  </si>
  <si>
    <t>klodran</t>
  </si>
  <si>
    <t>smkn 9</t>
  </si>
  <si>
    <t>smpn 23</t>
  </si>
  <si>
    <t>graha saba buana</t>
  </si>
  <si>
    <t>lapangan sumber</t>
  </si>
  <si>
    <t>smpn 12</t>
  </si>
  <si>
    <t>ngapeman</t>
  </si>
  <si>
    <t>gemblegan</t>
  </si>
  <si>
    <t>sma mta surakarta</t>
  </si>
  <si>
    <t>jembatan mojo</t>
  </si>
  <si>
    <t>ngebrak</t>
  </si>
  <si>
    <t>laban</t>
  </si>
  <si>
    <t>graha safira</t>
  </si>
  <si>
    <t>pasar plumbon</t>
  </si>
  <si>
    <t>gamelan</t>
  </si>
  <si>
    <t>GTP</t>
  </si>
  <si>
    <t>wirun</t>
  </si>
  <si>
    <t>polsek mojolaban</t>
  </si>
  <si>
    <t>sman 1 mojolaban</t>
  </si>
  <si>
    <t>tugu bendo</t>
  </si>
  <si>
    <t>pasar bekonang</t>
  </si>
  <si>
    <t>lapangan cangkol</t>
  </si>
  <si>
    <t>smp mojolaban</t>
  </si>
  <si>
    <t>spbu sidan</t>
  </si>
  <si>
    <t>simpang sidan</t>
  </si>
  <si>
    <t>subter taman pelangi</t>
  </si>
  <si>
    <t>pasar sibela a</t>
  </si>
  <si>
    <t>taman jayawijaya a</t>
  </si>
  <si>
    <t>indomaret jayawijaya b</t>
  </si>
  <si>
    <t>toko anugrah a</t>
  </si>
  <si>
    <t>perempatan busukan a</t>
  </si>
  <si>
    <t>dempo a</t>
  </si>
  <si>
    <t>ngaglik a</t>
  </si>
  <si>
    <t>usb poltekes a</t>
  </si>
  <si>
    <t>pertigaam patung banteng bibis a</t>
  </si>
  <si>
    <t>sma 5 sma 6a</t>
  </si>
  <si>
    <t>masjid al hakam a</t>
  </si>
  <si>
    <t>perempatan pasar ngemplak a</t>
  </si>
  <si>
    <t>smk kristen 2 a</t>
  </si>
  <si>
    <t>kelurahan stabelan 1</t>
  </si>
  <si>
    <t>pasar beras a</t>
  </si>
  <si>
    <t>perempatan pasar legi</t>
  </si>
  <si>
    <t>sma muhammadiyah 1</t>
  </si>
  <si>
    <t>dealer viar</t>
  </si>
  <si>
    <t>kelurahan ketelan a</t>
  </si>
  <si>
    <t>monumen pers a</t>
  </si>
  <si>
    <t>kelurahan timuran</t>
  </si>
  <si>
    <t>sami luwes</t>
  </si>
  <si>
    <t>pasarkembang</t>
  </si>
  <si>
    <t>perempatan trisakti</t>
  </si>
  <si>
    <t>perempatan kalilarangan</t>
  </si>
  <si>
    <t>perempatan grobakan a</t>
  </si>
  <si>
    <t>luwes gading a</t>
  </si>
  <si>
    <t>perempatan baturono a</t>
  </si>
  <si>
    <t>spbu semanggi a</t>
  </si>
  <si>
    <t>subter semanggi</t>
  </si>
  <si>
    <t>bakso putra makmur</t>
  </si>
  <si>
    <t>kelurahan mojosongo</t>
  </si>
  <si>
    <t>goa maria</t>
  </si>
  <si>
    <t>untoroloyo</t>
  </si>
  <si>
    <t>pabrik jerapah a</t>
  </si>
  <si>
    <t>pasar mojosongo a</t>
  </si>
  <si>
    <t>panggung A</t>
  </si>
  <si>
    <t>smpn 4 surakarta a</t>
  </si>
  <si>
    <t xml:space="preserve">smk kristen 2 </t>
  </si>
  <si>
    <t>kelurahan stabelan a</t>
  </si>
  <si>
    <t>rsud ngipang</t>
  </si>
  <si>
    <t>gkj ngipang</t>
  </si>
  <si>
    <t>ldii bayan krajan</t>
  </si>
  <si>
    <t>puskesmas kembyongan</t>
  </si>
  <si>
    <t>naraya babyshop</t>
  </si>
  <si>
    <t>sumpingan</t>
  </si>
  <si>
    <t>sd kristen 2 stablean a</t>
  </si>
  <si>
    <t>sdn 3 banyuagung</t>
  </si>
  <si>
    <t>kimia farma banyuagung</t>
  </si>
  <si>
    <t>pasar nusukan</t>
  </si>
  <si>
    <t>jembatan tirtonadi utara</t>
  </si>
  <si>
    <t>pasar papsa gilingan</t>
  </si>
  <si>
    <t>pasar besi</t>
  </si>
  <si>
    <t>triharsi</t>
  </si>
  <si>
    <t>arif sport pasar legi</t>
  </si>
  <si>
    <t>pasar legi</t>
  </si>
  <si>
    <t>pdam stabelan</t>
  </si>
  <si>
    <t>apotik widuran</t>
  </si>
  <si>
    <t>pegadaian widuran</t>
  </si>
  <si>
    <t>kejaksaan</t>
  </si>
  <si>
    <t>pasar klewer</t>
  </si>
  <si>
    <t>kedung lumbu a</t>
  </si>
  <si>
    <t>spbu pasar kliwon b</t>
  </si>
  <si>
    <t>SMP N 6 Surakarta</t>
  </si>
  <si>
    <t>perempatan katangan b</t>
  </si>
  <si>
    <t>smkn 3 surakarta a</t>
  </si>
  <si>
    <t>sma al islam 1 a</t>
  </si>
  <si>
    <t>sawo kecik a</t>
  </si>
  <si>
    <t>smpn 19 surakarta b</t>
  </si>
  <si>
    <t>sd kanisius b</t>
  </si>
  <si>
    <t>kelurahan kratonan b</t>
  </si>
  <si>
    <t>sma kristen 1</t>
  </si>
  <si>
    <t xml:space="preserve">sma al islam </t>
  </si>
  <si>
    <t>pasar kadipolo</t>
  </si>
  <si>
    <t>gor sritek</t>
  </si>
  <si>
    <t>kelurahan sriwedari</t>
  </si>
  <si>
    <t>zona steak</t>
  </si>
  <si>
    <t>sdn tegalsari a</t>
  </si>
  <si>
    <t>al muayyad a</t>
  </si>
  <si>
    <t>sinus</t>
  </si>
  <si>
    <t>pusat oleholeh jongke a</t>
  </si>
  <si>
    <t>spbu pajang a</t>
  </si>
  <si>
    <t>pos A</t>
  </si>
  <si>
    <t>bca pajang a</t>
  </si>
  <si>
    <t>smpn 9 surakarta a</t>
  </si>
  <si>
    <t>halal food a</t>
  </si>
  <si>
    <t>luwes gentan a</t>
  </si>
  <si>
    <t>kelurahan gentan a</t>
  </si>
  <si>
    <t>bni</t>
  </si>
  <si>
    <t>lapangan rcti gentan</t>
  </si>
  <si>
    <t>pgs selatan</t>
  </si>
  <si>
    <t>btc selatan</t>
  </si>
  <si>
    <t>luwes sangkrah</t>
  </si>
  <si>
    <t>pertigaan lodji wetan</t>
  </si>
  <si>
    <t>telkom</t>
  </si>
  <si>
    <t>apotik talenta</t>
  </si>
  <si>
    <t>sd warga</t>
  </si>
  <si>
    <t>dr loo</t>
  </si>
  <si>
    <t>sma 3 smp 14</t>
  </si>
  <si>
    <t>pertigaan wonosaren</t>
  </si>
  <si>
    <t>kelurahan jagalan</t>
  </si>
  <si>
    <t>smpn 20</t>
  </si>
  <si>
    <t>Abon Sapi Jagalan</t>
  </si>
  <si>
    <t>Tambal Ban Jonasan A</t>
  </si>
  <si>
    <t>Alfamart Jonasan A</t>
  </si>
  <si>
    <t>Perdana Oli A</t>
  </si>
  <si>
    <t>Kelurahan Pucang Sawit A</t>
  </si>
  <si>
    <t>Boing Tenis Center A</t>
  </si>
  <si>
    <t>Pasar Pucang Sawit A</t>
  </si>
  <si>
    <t>Tugu Adipura Jurug A</t>
  </si>
  <si>
    <t>from</t>
  </si>
  <si>
    <t>to</t>
  </si>
  <si>
    <t>waktu</t>
  </si>
  <si>
    <t>koridor</t>
  </si>
  <si>
    <t>Thionghing</t>
  </si>
  <si>
    <t>Center point</t>
  </si>
  <si>
    <t>Center Point</t>
  </si>
  <si>
    <t>Subter Kerten</t>
  </si>
  <si>
    <t>sub terminak kerten</t>
  </si>
  <si>
    <t>smpn 2 Kartasuro</t>
  </si>
  <si>
    <t>luwes</t>
  </si>
  <si>
    <t>asmi selatan</t>
  </si>
  <si>
    <t>jurug 2</t>
  </si>
  <si>
    <t>UNS selatan</t>
  </si>
  <si>
    <t>TBS Selatan</t>
  </si>
  <si>
    <t>sekarpace barat</t>
  </si>
  <si>
    <t>cembengan barat</t>
  </si>
  <si>
    <t>tionghing 1</t>
  </si>
  <si>
    <t>sma muhammadiyah 3</t>
  </si>
  <si>
    <t>rs moewardi</t>
  </si>
  <si>
    <t>hermina</t>
  </si>
  <si>
    <t xml:space="preserve">panggung </t>
  </si>
  <si>
    <t>Terminal Kartasura</t>
  </si>
  <si>
    <t>rs moeward</t>
  </si>
  <si>
    <t>thionghing</t>
  </si>
  <si>
    <t>RS Bhayangkara tadi sma 4</t>
  </si>
  <si>
    <t>tirtonadi barat</t>
  </si>
  <si>
    <t>thiongting</t>
  </si>
  <si>
    <t>kecamatan jebres timur</t>
  </si>
  <si>
    <t>asmi</t>
  </si>
  <si>
    <t>terminal palur</t>
  </si>
  <si>
    <t>gemblengan timur</t>
  </si>
  <si>
    <t>sma 5 sma 6 a</t>
  </si>
  <si>
    <t>gemblengan a</t>
  </si>
  <si>
    <t>panggung a</t>
  </si>
  <si>
    <t>alun-alun utara</t>
  </si>
  <si>
    <t>POS A bkn POS B</t>
  </si>
  <si>
    <t>POS A</t>
  </si>
  <si>
    <t xml:space="preserve">Vastenburg </t>
  </si>
  <si>
    <t>pasar gedhe</t>
  </si>
  <si>
    <t xml:space="preserve">warung pelem </t>
  </si>
  <si>
    <t>pertiggan wonosaren</t>
  </si>
  <si>
    <t>Durasi Perjalanan</t>
  </si>
  <si>
    <t>Terminal Palur - Bandara Adi Soemarmo</t>
  </si>
  <si>
    <t xml:space="preserve">to </t>
  </si>
  <si>
    <t>DETAIL KORIDOR BST</t>
  </si>
  <si>
    <t>Latitude</t>
  </si>
  <si>
    <t>Longitude</t>
  </si>
  <si>
    <t xml:space="preserve">UNS </t>
  </si>
  <si>
    <t>sekarpace</t>
  </si>
  <si>
    <t>cembengan</t>
  </si>
  <si>
    <t>-7.5509761</t>
  </si>
  <si>
    <t>110.817924</t>
  </si>
  <si>
    <t>Vastenburg</t>
  </si>
  <si>
    <t>LATITUDE</t>
  </si>
  <si>
    <t>LONGITUDE</t>
  </si>
  <si>
    <t xml:space="preserve">LATITUDE </t>
  </si>
  <si>
    <t>Palur</t>
  </si>
  <si>
    <t>TERMINAL KARTASURA</t>
  </si>
  <si>
    <t>sub terminal taman pelangi</t>
  </si>
  <si>
    <t>halte pasar klewer</t>
  </si>
  <si>
    <t>Plaza Palur</t>
  </si>
  <si>
    <t>Palur plaza</t>
  </si>
  <si>
    <t>rs karima kartasura</t>
  </si>
  <si>
    <t>RS Karima</t>
  </si>
  <si>
    <t xml:space="preserve">sma 5 </t>
  </si>
  <si>
    <t>halte bakso putra makmur</t>
  </si>
  <si>
    <t>Mitra Palur</t>
  </si>
  <si>
    <t>Luwes</t>
  </si>
  <si>
    <t>halte kelurahan mojosongo</t>
  </si>
  <si>
    <t>Halte Brigif</t>
  </si>
  <si>
    <t>halte goa maria</t>
  </si>
  <si>
    <t>Halte Asmi Selatan</t>
  </si>
  <si>
    <t>Gereja Colomadu</t>
  </si>
  <si>
    <t>halte untoroloyo</t>
  </si>
  <si>
    <t>Jurug</t>
  </si>
  <si>
    <t>Halte Perbatasan Kota</t>
  </si>
  <si>
    <t>halte kecamatan colomadu</t>
  </si>
  <si>
    <t>Pasar Colomadu</t>
  </si>
  <si>
    <t xml:space="preserve">kelurahan stabelan </t>
  </si>
  <si>
    <t>halte pabrik jerapah a</t>
  </si>
  <si>
    <t>Tmp</t>
  </si>
  <si>
    <t>halte pom bensin utara</t>
  </si>
  <si>
    <t>GBI Malangjiwan</t>
  </si>
  <si>
    <t>halte pasar mojosongo a</t>
  </si>
  <si>
    <t>rs kustati b</t>
  </si>
  <si>
    <t>Uns</t>
  </si>
  <si>
    <t>halte koramil</t>
  </si>
  <si>
    <t>Apotek Kirana</t>
  </si>
  <si>
    <t>halte kandang sapi timur</t>
  </si>
  <si>
    <t>kantor pos</t>
  </si>
  <si>
    <t>Tbs</t>
  </si>
  <si>
    <t>Pasar Gompang</t>
  </si>
  <si>
    <t>halte ypac utara</t>
  </si>
  <si>
    <t>SMP 1 Gawanan</t>
  </si>
  <si>
    <t>halte panggung a</t>
  </si>
  <si>
    <t>Tyfountex Pintu Utama</t>
  </si>
  <si>
    <t>SMK Adi Soemarmo</t>
  </si>
  <si>
    <t>Halte Sekarpace Barat</t>
  </si>
  <si>
    <t>Tyfountex Pintu Timur</t>
  </si>
  <si>
    <t>YAKKUM</t>
  </si>
  <si>
    <t>halte monumen pers a</t>
  </si>
  <si>
    <t>halte cembengan barat</t>
  </si>
  <si>
    <t>Proyek Bengawan</t>
  </si>
  <si>
    <t>Garasi BST</t>
  </si>
  <si>
    <t>halte apotik talenta</t>
  </si>
  <si>
    <t>Sma Muhammadiyah 3</t>
  </si>
  <si>
    <t>Halte Thiongting 1</t>
  </si>
  <si>
    <t>Masjid Windan</t>
  </si>
  <si>
    <t>Afkis</t>
  </si>
  <si>
    <t>halte patung mayor ahmadi</t>
  </si>
  <si>
    <t>halte sd warga</t>
  </si>
  <si>
    <t>Rs Moewardi</t>
  </si>
  <si>
    <t>SMA Muhamadiyah 3</t>
  </si>
  <si>
    <t>Pracimaloyo</t>
  </si>
  <si>
    <t>Soto Sawah</t>
  </si>
  <si>
    <t>halte smpn 4 surakarta</t>
  </si>
  <si>
    <t>halte dr loo</t>
  </si>
  <si>
    <t>Puskesmas Colomadu</t>
  </si>
  <si>
    <t xml:space="preserve">halte smk kristen 2 </t>
  </si>
  <si>
    <t>halte sma 3 smp 14</t>
  </si>
  <si>
    <t>Tugu Lilin</t>
  </si>
  <si>
    <t>halte solo pos utara</t>
  </si>
  <si>
    <t>notosuman Solo</t>
  </si>
  <si>
    <t>halte kelurahan stabelan</t>
  </si>
  <si>
    <t>halte pertigaan wonosaren</t>
  </si>
  <si>
    <t>Wangkung</t>
  </si>
  <si>
    <t>halte dprd utara</t>
  </si>
  <si>
    <t>gemblengan solo</t>
  </si>
  <si>
    <t>halte pasar beras</t>
  </si>
  <si>
    <t>halte kelurahan jagalan</t>
  </si>
  <si>
    <t>Jongke</t>
  </si>
  <si>
    <t>halte adi sucipto barat 1</t>
  </si>
  <si>
    <t>perempatan grobakan solo</t>
  </si>
  <si>
    <t>halte smpn 20</t>
  </si>
  <si>
    <t>Pasar Kabangan</t>
  </si>
  <si>
    <t xml:space="preserve">Adisutjipto Timur </t>
  </si>
  <si>
    <t>luwes gading solo</t>
  </si>
  <si>
    <t>SMP Kristen 3</t>
  </si>
  <si>
    <t>Ria Miranda</t>
  </si>
  <si>
    <t>jajar solo</t>
  </si>
  <si>
    <t>Sabar Motor</t>
  </si>
  <si>
    <t>ursulin surakarta</t>
  </si>
  <si>
    <t>Baron Barat</t>
  </si>
  <si>
    <t>Baron Timur</t>
  </si>
  <si>
    <t>sma n 4</t>
  </si>
  <si>
    <t>Stadion Manahan</t>
  </si>
  <si>
    <t>sub terminal semanggi solo</t>
  </si>
  <si>
    <t>Gladag</t>
  </si>
  <si>
    <t>Laweyan</t>
  </si>
  <si>
    <t>stadion manahan surakarta</t>
  </si>
  <si>
    <t>Kota Barat</t>
  </si>
  <si>
    <t>halte gedung wanita</t>
  </si>
  <si>
    <t>halte pom bensin manahan</t>
  </si>
  <si>
    <t>Lotte Mart</t>
  </si>
  <si>
    <t>halte rs brayat</t>
  </si>
  <si>
    <t>Taspen</t>
  </si>
  <si>
    <t>halte dewa dewi</t>
  </si>
  <si>
    <t>Sriwedari 2</t>
  </si>
  <si>
    <t>Sma Muhamadiyah 2</t>
  </si>
  <si>
    <t>Sriwedari 1</t>
  </si>
  <si>
    <t>Halte Pertigaan Gilingan</t>
  </si>
  <si>
    <t>pusat oleh oleh jongke</t>
  </si>
  <si>
    <t>Gendengan</t>
  </si>
  <si>
    <t>Gemblengan Sampurna</t>
  </si>
  <si>
    <t>halte viaduk gilingan</t>
  </si>
  <si>
    <t>halte pasar ngemplak</t>
  </si>
  <si>
    <t>halte perempatan aub</t>
  </si>
  <si>
    <t>pos b</t>
  </si>
  <si>
    <t>Halte Kandang Sapi timur</t>
  </si>
  <si>
    <t>SD Jamaatul Ichwan</t>
  </si>
  <si>
    <t>Stikes Aisiyah</t>
  </si>
  <si>
    <t>halte kecamatan jebres timur</t>
  </si>
  <si>
    <t>UMS</t>
  </si>
  <si>
    <t>halte pintu belakang uns</t>
  </si>
  <si>
    <t>halte taman lansia</t>
  </si>
  <si>
    <t>SMP N 2 Kartasura</t>
  </si>
  <si>
    <t>halte rusun jurug timur</t>
  </si>
  <si>
    <t>halte pasar buah jurug timur</t>
  </si>
  <si>
    <t>halte jurug 1</t>
  </si>
  <si>
    <t>SMP Muhammadiyah 1</t>
  </si>
  <si>
    <t xml:space="preserve">halte pintu belakang uns </t>
  </si>
  <si>
    <t>halte rs jiwa/taman lansia</t>
  </si>
  <si>
    <t>Bulog</t>
  </si>
  <si>
    <t>Bandara Adi Soemarmo</t>
  </si>
  <si>
    <t>halte palur plaza</t>
  </si>
  <si>
    <t>halte mitra palur</t>
  </si>
  <si>
    <t>halte brigif</t>
  </si>
  <si>
    <t>halte asmi selatan</t>
  </si>
  <si>
    <t>halte perbatasan kota</t>
  </si>
  <si>
    <t>halte jurug 2</t>
  </si>
  <si>
    <t>halte TMP</t>
  </si>
  <si>
    <t>Vastenburg (kantor pos)</t>
  </si>
  <si>
    <t>halte UNS selatan</t>
  </si>
  <si>
    <t>halte TBS Selatan</t>
  </si>
  <si>
    <t>halte jonggrang utara</t>
  </si>
  <si>
    <t>halte sekarpace barat</t>
  </si>
  <si>
    <t>halte ihs utara</t>
  </si>
  <si>
    <t>halte sma 5 sma 6a</t>
  </si>
  <si>
    <t>halte atmi</t>
  </si>
  <si>
    <t>halte tionghing 1</t>
  </si>
  <si>
    <t>halte lor inn utara</t>
  </si>
  <si>
    <t>halte patung mayor ahmadi a</t>
  </si>
  <si>
    <t>halte lapangan bulukan utara</t>
  </si>
  <si>
    <t>halte smpn 4 surakarta a</t>
  </si>
  <si>
    <t>halte alana</t>
  </si>
  <si>
    <t>halte smpn 4 a</t>
  </si>
  <si>
    <t>halte smk kristen 2 a</t>
  </si>
  <si>
    <t>halte pertiggan wonosaren</t>
  </si>
  <si>
    <t>halte kelurahan stabelan 1</t>
  </si>
  <si>
    <t>halte pasar beras a</t>
  </si>
  <si>
    <t>halte perempatan pasar legi</t>
  </si>
  <si>
    <t>halte dealer viar</t>
  </si>
  <si>
    <t>halte kelurahan ketelan a</t>
  </si>
  <si>
    <t>halte sami luwes</t>
  </si>
  <si>
    <t>halte pasarkembang</t>
  </si>
  <si>
    <t>halte perempatan kalilarangan</t>
  </si>
  <si>
    <t>halte gemblengan a</t>
  </si>
  <si>
    <t>halte pertigaan gilingan</t>
  </si>
  <si>
    <t>halte perempatan grobakan a</t>
  </si>
  <si>
    <t>halte luwes gading a</t>
  </si>
  <si>
    <t>halte perempatan baturono a</t>
  </si>
  <si>
    <t>halte spbu semanggi a</t>
  </si>
  <si>
    <t>halte subter semanggi</t>
  </si>
  <si>
    <t>halte solo technopark</t>
  </si>
  <si>
    <t>Address</t>
  </si>
  <si>
    <t>Country</t>
  </si>
  <si>
    <t>Coordinates</t>
  </si>
  <si>
    <t>Address found</t>
  </si>
  <si>
    <t>smpn 6 surakarta</t>
  </si>
  <si>
    <t>ID</t>
  </si>
  <si>
    <t>-7.5817821,110.8314041</t>
  </si>
  <si>
    <t>Jl. Kapten Mulyadi No.259, Semanggi, Kec. Ps. Kliwon, Kota Surakarta, Jawa Tengah 57118, Indonesia</t>
  </si>
  <si>
    <t>pos a solo bus stop</t>
  </si>
  <si>
    <t>-7.553469,110.7444432</t>
  </si>
  <si>
    <t>Solo Bus Stop, Dusun III, Kartasura, Sukoharjo Regency, Central Java, Indonesia</t>
  </si>
  <si>
    <t>Jl. Joko Tingkir No.17, Dusun I, Pajang, Kec. Laweyan, Kota Surakarta, Jawa Tengah 57161</t>
  </si>
  <si>
    <t>-7.570699999999999,110.7838272</t>
  </si>
  <si>
    <t>Jl. Joko Tingkir No.17, Pajang, Kec. Laweyan, Kota Surakarta, Jawa Tengah 57161, Indonesia</t>
  </si>
  <si>
    <t>-7.56739,110.84744</t>
  </si>
  <si>
    <t>Abon Sapi Jagalan B, Pucangsawit, Kec. Jebres, Kota Surakarta, Jawa Tengah, Indonesia</t>
  </si>
  <si>
    <t>-7.5697,110.84668</t>
  </si>
  <si>
    <t>Tambal Ban Jonasan A, Pucangsawit, Kec. Jebres, Kota Surakarta, Jawa Tengah, Indonesia</t>
  </si>
  <si>
    <t>-7.57028,110.8476</t>
  </si>
  <si>
    <t>Alfamart Jonasan A, Pucangsawit, Kec. Jebres, Kota Surakarta, Jawa Tengah, Indonesia</t>
  </si>
  <si>
    <t>-7.569789999999999,110.84972</t>
  </si>
  <si>
    <t>Perdana Oli A, Pucangsawit, Kec. Jebres, Kota Surakarta, Jawa Tengah, Indonesia</t>
  </si>
  <si>
    <t>-7.56912,110.85257</t>
  </si>
  <si>
    <t>Kelurahan Pucang Sawit A, Pucangsawit, Kec. Jebres, Kota Surakarta, Jawa Tengah, Indonesia</t>
  </si>
  <si>
    <t>-7.5683186,110.8545831</t>
  </si>
  <si>
    <t>Jl. Ir. Juanda No.283, Pucangsawit, Kec. Jebres, Kota Surakarta, Jawa Tengah 57125, Indonesia</t>
  </si>
  <si>
    <t>-7.56823,110.85824</t>
  </si>
  <si>
    <t>Pasar Pucang Sawit A, Pucangsawit, Kec. Jebres, Kota Surakarta, Jawa Tengah, Indonesia</t>
  </si>
  <si>
    <t>-7.56701,110.86017</t>
  </si>
  <si>
    <t>Tugu Adipura Jurug A, Pucangsawit, Kec. Jebres, Kota Surakarta, Jawa Tengah, 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</si>
</sst>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000000"/>
      <name val="Arial"/>
    </font>
    <font>
      <b/>
      <sz val="16.0"/>
      <color theme="1"/>
      <name val="Arial"/>
      <scheme val="minor"/>
    </font>
    <font>
      <color rgb="FF1F1F1F"/>
      <name val="&quot;Google Sans&quot;"/>
    </font>
  </fonts>
  <fills count="1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BDFE3"/>
        <bgColor rgb="FFDBDFE3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4" fontId="1" numFmtId="0" xfId="0" applyAlignment="1" applyFill="1" applyFont="1">
      <alignment readingOrder="0" vertical="center"/>
    </xf>
    <xf borderId="0" fillId="4" fontId="2" numFmtId="0" xfId="0" applyFont="1"/>
    <xf borderId="0" fillId="4" fontId="2" numFmtId="0" xfId="0" applyAlignment="1" applyFont="1">
      <alignment readingOrder="0"/>
    </xf>
    <xf borderId="0" fillId="0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right"/>
    </xf>
    <xf borderId="0" fillId="0" fontId="6" numFmtId="0" xfId="0" applyFont="1"/>
    <xf borderId="0" fillId="4" fontId="6" numFmtId="0" xfId="0" applyAlignment="1" applyFont="1">
      <alignment readingOrder="0"/>
    </xf>
    <xf borderId="0" fillId="4" fontId="6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5" fontId="5" numFmtId="0" xfId="0" applyAlignment="1" applyFill="1" applyFont="1">
      <alignment readingOrder="0" vertical="bottom"/>
    </xf>
    <xf borderId="0" fillId="5" fontId="8" numFmtId="0" xfId="0" applyAlignment="1" applyFont="1">
      <alignment readingOrder="0" vertical="bottom"/>
    </xf>
    <xf borderId="0" fillId="5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5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4" fontId="7" numFmtId="0" xfId="0" applyAlignment="1" applyFont="1">
      <alignment horizontal="center" readingOrder="0"/>
    </xf>
    <xf borderId="0" fillId="6" fontId="6" numFmtId="0" xfId="0" applyAlignment="1" applyFill="1" applyFont="1">
      <alignment readingOrder="0"/>
    </xf>
    <xf borderId="0" fillId="6" fontId="2" numFmtId="0" xfId="0" applyAlignment="1" applyFont="1">
      <alignment horizontal="center" readingOrder="0" shrinkToFit="0" vertical="center" wrapText="1"/>
    </xf>
    <xf borderId="0" fillId="7" fontId="6" numFmtId="0" xfId="0" applyAlignment="1" applyFill="1" applyFont="1">
      <alignment readingOrder="0"/>
    </xf>
    <xf borderId="0" fillId="7" fontId="4" numFmtId="0" xfId="0" applyAlignment="1" applyFont="1">
      <alignment horizontal="center" shrinkToFit="0" vertical="center" wrapText="1"/>
    </xf>
    <xf borderId="0" fillId="8" fontId="6" numFmtId="0" xfId="0" applyAlignment="1" applyFill="1" applyFont="1">
      <alignment readingOrder="0"/>
    </xf>
    <xf borderId="0" fillId="8" fontId="4" numFmtId="0" xfId="0" applyAlignment="1" applyFont="1">
      <alignment horizontal="center" shrinkToFit="0" vertical="center" wrapText="1"/>
    </xf>
    <xf borderId="0" fillId="9" fontId="6" numFmtId="0" xfId="0" applyAlignment="1" applyFill="1" applyFont="1">
      <alignment readingOrder="0"/>
    </xf>
    <xf borderId="0" fillId="9" fontId="4" numFmtId="0" xfId="0" applyAlignment="1" applyFont="1">
      <alignment horizontal="center" shrinkToFit="0" wrapText="1"/>
    </xf>
    <xf borderId="0" fillId="10" fontId="6" numFmtId="0" xfId="0" applyAlignment="1" applyFill="1" applyFont="1">
      <alignment readingOrder="0"/>
    </xf>
    <xf borderId="0" fillId="10" fontId="4" numFmtId="0" xfId="0" applyAlignment="1" applyFont="1">
      <alignment horizontal="center" shrinkToFit="0" vertical="center" wrapText="1"/>
    </xf>
    <xf borderId="0" fillId="11" fontId="6" numFmtId="0" xfId="0" applyAlignment="1" applyFill="1" applyFont="1">
      <alignment readingOrder="0"/>
    </xf>
    <xf borderId="0" fillId="11" fontId="4" numFmtId="0" xfId="0" applyAlignment="1" applyFont="1">
      <alignment horizontal="center" shrinkToFit="0" vertical="center" wrapText="1"/>
    </xf>
    <xf borderId="0" fillId="2" fontId="6" numFmtId="0" xfId="0" applyAlignment="1" applyFont="1">
      <alignment readingOrder="0"/>
    </xf>
    <xf borderId="0" fillId="2" fontId="4" numFmtId="0" xfId="0" applyAlignment="1" applyFont="1">
      <alignment horizontal="center" shrinkToFit="0" vertical="center" wrapText="1"/>
    </xf>
    <xf borderId="0" fillId="12" fontId="6" numFmtId="0" xfId="0" applyAlignment="1" applyFill="1" applyFont="1">
      <alignment readingOrder="0"/>
    </xf>
    <xf borderId="0" fillId="12" fontId="4" numFmtId="0" xfId="0" applyAlignment="1" applyFont="1">
      <alignment horizontal="center" shrinkToFit="0" vertical="center" wrapText="1"/>
    </xf>
    <xf borderId="0" fillId="13" fontId="6" numFmtId="0" xfId="0" applyAlignment="1" applyFill="1" applyFont="1">
      <alignment readingOrder="0"/>
    </xf>
    <xf borderId="0" fillId="13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0" fillId="14" fontId="5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14" fontId="4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readingOrder="0"/>
    </xf>
    <xf borderId="0" fillId="4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4" fontId="7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4" fontId="5" numFmtId="0" xfId="0" applyAlignment="1" applyFont="1">
      <alignment horizontal="center" readingOrder="0" vertical="bottom"/>
    </xf>
    <xf borderId="0" fillId="4" fontId="5" numFmtId="0" xfId="0" applyAlignment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15" fontId="9" numFmtId="0" xfId="0" applyAlignment="1" applyFill="1" applyFont="1">
      <alignment readingOrder="0" vertical="center"/>
    </xf>
    <xf borderId="0" fillId="6" fontId="6" numFmtId="0" xfId="0" applyFont="1"/>
    <xf borderId="0" fillId="7" fontId="6" numFmtId="0" xfId="0" applyFont="1"/>
    <xf borderId="0" fillId="8" fontId="6" numFmtId="0" xfId="0" applyFont="1"/>
    <xf borderId="0" fillId="9" fontId="6" numFmtId="0" xfId="0" applyFont="1"/>
    <xf borderId="0" fillId="10" fontId="6" numFmtId="0" xfId="0" applyFont="1"/>
    <xf borderId="0" fillId="11" fontId="6" numFmtId="0" xfId="0" applyFont="1"/>
    <xf borderId="0" fillId="2" fontId="6" numFmtId="0" xfId="0" applyFont="1"/>
    <xf borderId="0" fillId="12" fontId="6" numFmtId="0" xfId="0" applyFont="1"/>
    <xf borderId="0" fillId="13" fontId="6" numFmtId="0" xfId="0" applyFont="1"/>
    <xf borderId="0" fillId="14" fontId="6" numFmtId="0" xfId="0" applyAlignment="1" applyFont="1">
      <alignment readingOrder="0"/>
    </xf>
    <xf borderId="0" fillId="14" fontId="6" numFmtId="0" xfId="0" applyFont="1"/>
    <xf borderId="0" fillId="6" fontId="7" numFmtId="0" xfId="0" applyAlignment="1" applyFont="1">
      <alignment readingOrder="0"/>
    </xf>
    <xf borderId="0" fillId="7" fontId="7" numFmtId="0" xfId="0" applyAlignment="1" applyFont="1">
      <alignment readingOrder="0"/>
    </xf>
    <xf borderId="0" fillId="8" fontId="7" numFmtId="0" xfId="0" applyAlignment="1" applyFont="1">
      <alignment readingOrder="0"/>
    </xf>
    <xf borderId="0" fillId="9" fontId="7" numFmtId="0" xfId="0" applyAlignment="1" applyFont="1">
      <alignment readingOrder="0"/>
    </xf>
    <xf borderId="0" fillId="10" fontId="7" numFmtId="0" xfId="0" applyAlignment="1" applyFont="1">
      <alignment readingOrder="0"/>
    </xf>
    <xf borderId="0" fillId="11" fontId="7" numFmtId="0" xfId="0" applyAlignment="1" applyFont="1">
      <alignment readingOrder="0"/>
    </xf>
    <xf borderId="0" fillId="2" fontId="7" numFmtId="0" xfId="0" applyAlignment="1" applyFont="1">
      <alignment readingOrder="0"/>
    </xf>
    <xf borderId="0" fillId="12" fontId="7" numFmtId="0" xfId="0" applyAlignment="1" applyFont="1">
      <alignment readingOrder="0"/>
    </xf>
    <xf borderId="0" fillId="13" fontId="7" numFmtId="0" xfId="0" applyAlignment="1" applyFont="1">
      <alignment readingOrder="0"/>
    </xf>
    <xf borderId="0" fillId="14" fontId="7" numFmtId="0" xfId="0" applyAlignment="1" applyFont="1">
      <alignment readingOrder="0"/>
    </xf>
    <xf borderId="0" fillId="16" fontId="6" numFmtId="0" xfId="0" applyAlignment="1" applyFill="1" applyFont="1">
      <alignment readingOrder="0"/>
    </xf>
    <xf borderId="0" fillId="3" fontId="6" numFmtId="0" xfId="0" applyAlignment="1" applyFont="1">
      <alignment horizontal="center" readingOrder="0"/>
    </xf>
    <xf borderId="0" fillId="0" fontId="2" numFmtId="0" xfId="0" applyFont="1"/>
    <xf borderId="0" fillId="16" fontId="5" numFmtId="0" xfId="0" applyAlignment="1" applyFont="1">
      <alignment vertical="bottom"/>
    </xf>
    <xf borderId="0" fillId="17" fontId="6" numFmtId="0" xfId="0" applyAlignment="1" applyFill="1" applyFont="1">
      <alignment horizontal="center" readingOrder="0"/>
    </xf>
    <xf borderId="0" fillId="17" fontId="6" numFmtId="0" xfId="0" applyAlignment="1" applyFont="1">
      <alignment readingOrder="0"/>
    </xf>
    <xf borderId="0" fillId="18" fontId="6" numFmtId="0" xfId="0" applyAlignment="1" applyFill="1" applyFont="1">
      <alignment horizontal="center" readingOrder="0"/>
    </xf>
    <xf borderId="0" fillId="16" fontId="5" numFmtId="0" xfId="0" applyAlignment="1" applyFont="1">
      <alignment readingOrder="0" vertical="bottom"/>
    </xf>
    <xf borderId="0" fillId="16" fontId="5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5" fontId="8" numFmtId="0" xfId="0" applyAlignment="1" applyFont="1">
      <alignment vertical="bottom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4" fontId="10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2.38"/>
    <col customWidth="1" min="4" max="4" width="36.38"/>
    <col customWidth="1" min="7" max="7" width="25.0"/>
    <col customWidth="1" min="10" max="10" width="20.5"/>
    <col customWidth="1" min="12" max="12" width="18.63"/>
    <col customWidth="1" min="15" max="15" width="25.13"/>
    <col customWidth="1" min="27" max="40" width="14.5"/>
  </cols>
  <sheetData>
    <row r="2">
      <c r="A2" s="1" t="s">
        <v>0</v>
      </c>
      <c r="G2" s="1" t="s">
        <v>1</v>
      </c>
      <c r="N2" s="2" t="s">
        <v>2</v>
      </c>
    </row>
    <row r="4">
      <c r="A4" s="3" t="s">
        <v>3</v>
      </c>
      <c r="B4" s="3" t="s">
        <v>4</v>
      </c>
      <c r="C4" s="2" t="s">
        <v>5</v>
      </c>
      <c r="D4" s="2" t="s">
        <v>6</v>
      </c>
      <c r="G4" s="4" t="s">
        <v>7</v>
      </c>
      <c r="H4" s="4" t="s">
        <v>4</v>
      </c>
      <c r="J4" s="2" t="s">
        <v>8</v>
      </c>
      <c r="K4" s="2" t="s">
        <v>9</v>
      </c>
    </row>
    <row r="5">
      <c r="A5" s="5">
        <v>1.0</v>
      </c>
      <c r="B5" s="2" t="s">
        <v>10</v>
      </c>
      <c r="C5" s="2" t="s">
        <v>11</v>
      </c>
      <c r="D5" s="2" t="s">
        <v>12</v>
      </c>
      <c r="G5" s="2" t="s">
        <v>8</v>
      </c>
      <c r="H5" s="2" t="s">
        <v>10</v>
      </c>
      <c r="J5" s="2" t="s">
        <v>13</v>
      </c>
      <c r="K5" s="2" t="s">
        <v>9</v>
      </c>
    </row>
    <row r="6">
      <c r="A6" s="5">
        <v>2.0</v>
      </c>
      <c r="B6" s="2" t="s">
        <v>14</v>
      </c>
      <c r="C6" s="2" t="s">
        <v>15</v>
      </c>
      <c r="D6" s="2" t="s">
        <v>16</v>
      </c>
      <c r="H6" s="2" t="s">
        <v>14</v>
      </c>
      <c r="J6" s="2" t="s">
        <v>17</v>
      </c>
      <c r="K6" s="2" t="s">
        <v>9</v>
      </c>
    </row>
    <row r="7">
      <c r="A7" s="5">
        <v>3.0</v>
      </c>
      <c r="B7" s="2" t="s">
        <v>18</v>
      </c>
      <c r="C7" s="2" t="s">
        <v>19</v>
      </c>
      <c r="D7" s="2" t="s">
        <v>20</v>
      </c>
      <c r="H7" s="2" t="s">
        <v>21</v>
      </c>
      <c r="J7" s="2" t="s">
        <v>22</v>
      </c>
      <c r="K7" s="2" t="s">
        <v>9</v>
      </c>
    </row>
    <row r="8">
      <c r="A8" s="5">
        <v>4.0</v>
      </c>
      <c r="B8" s="2" t="s">
        <v>21</v>
      </c>
      <c r="C8" s="2" t="s">
        <v>23</v>
      </c>
      <c r="D8" s="2" t="s">
        <v>24</v>
      </c>
      <c r="H8" s="2" t="s">
        <v>25</v>
      </c>
      <c r="J8" s="2" t="s">
        <v>26</v>
      </c>
      <c r="K8" s="2" t="s">
        <v>27</v>
      </c>
    </row>
    <row r="9">
      <c r="A9" s="5">
        <v>5.0</v>
      </c>
      <c r="B9" s="2" t="s">
        <v>28</v>
      </c>
      <c r="C9" s="2" t="s">
        <v>29</v>
      </c>
      <c r="D9" s="2" t="s">
        <v>30</v>
      </c>
      <c r="G9" s="2" t="s">
        <v>31</v>
      </c>
      <c r="H9" s="2" t="s">
        <v>10</v>
      </c>
      <c r="J9" s="2" t="s">
        <v>32</v>
      </c>
      <c r="K9" s="2" t="s">
        <v>9</v>
      </c>
    </row>
    <row r="10">
      <c r="A10" s="5">
        <v>6.0</v>
      </c>
      <c r="B10" s="2" t="s">
        <v>33</v>
      </c>
      <c r="C10" s="2" t="s">
        <v>34</v>
      </c>
      <c r="D10" s="2" t="s">
        <v>35</v>
      </c>
      <c r="H10" s="2" t="s">
        <v>14</v>
      </c>
      <c r="J10" s="2" t="s">
        <v>36</v>
      </c>
      <c r="K10" s="2" t="s">
        <v>37</v>
      </c>
    </row>
    <row r="11">
      <c r="A11" s="5">
        <v>7.0</v>
      </c>
      <c r="B11" s="2" t="s">
        <v>38</v>
      </c>
      <c r="C11" s="2" t="s">
        <v>39</v>
      </c>
      <c r="D11" s="2" t="s">
        <v>40</v>
      </c>
      <c r="H11" s="2" t="s">
        <v>21</v>
      </c>
      <c r="J11" s="2" t="s">
        <v>41</v>
      </c>
      <c r="K11" s="2" t="s">
        <v>42</v>
      </c>
    </row>
    <row r="12">
      <c r="A12" s="5">
        <v>8.0</v>
      </c>
      <c r="B12" s="2" t="s">
        <v>43</v>
      </c>
      <c r="C12" s="2" t="s">
        <v>44</v>
      </c>
      <c r="D12" s="2" t="s">
        <v>45</v>
      </c>
      <c r="H12" s="2" t="s">
        <v>25</v>
      </c>
      <c r="J12" s="2" t="s">
        <v>46</v>
      </c>
      <c r="K12" s="2" t="s">
        <v>47</v>
      </c>
    </row>
    <row r="13">
      <c r="A13" s="5">
        <v>9.0</v>
      </c>
      <c r="B13" s="2" t="s">
        <v>48</v>
      </c>
      <c r="C13" s="2" t="s">
        <v>49</v>
      </c>
      <c r="D13" s="2" t="s">
        <v>50</v>
      </c>
      <c r="G13" s="2" t="s">
        <v>17</v>
      </c>
      <c r="H13" s="2" t="s">
        <v>10</v>
      </c>
      <c r="J13" s="2" t="s">
        <v>51</v>
      </c>
      <c r="K13" s="2" t="s">
        <v>47</v>
      </c>
    </row>
    <row r="14">
      <c r="A14" s="5">
        <v>10.0</v>
      </c>
      <c r="B14" s="2" t="s">
        <v>25</v>
      </c>
      <c r="C14" s="2" t="s">
        <v>52</v>
      </c>
      <c r="D14" s="2" t="s">
        <v>53</v>
      </c>
      <c r="H14" s="2" t="s">
        <v>14</v>
      </c>
      <c r="J14" s="2" t="s">
        <v>54</v>
      </c>
      <c r="K14" s="2" t="s">
        <v>47</v>
      </c>
    </row>
    <row r="15">
      <c r="H15" s="2" t="s">
        <v>21</v>
      </c>
      <c r="J15" s="2" t="s">
        <v>55</v>
      </c>
      <c r="K15" s="2" t="s">
        <v>47</v>
      </c>
    </row>
    <row r="16">
      <c r="H16" s="2" t="s">
        <v>25</v>
      </c>
      <c r="J16" s="2" t="s">
        <v>56</v>
      </c>
      <c r="K16" s="2" t="s">
        <v>57</v>
      </c>
      <c r="AG16" s="2"/>
      <c r="AH16" s="2"/>
      <c r="AI16" s="2"/>
      <c r="AJ16" s="2"/>
      <c r="AK16" s="2"/>
      <c r="AL16" s="2"/>
      <c r="AM16" s="2"/>
      <c r="AN16" s="2"/>
    </row>
    <row r="17">
      <c r="G17" s="2" t="s">
        <v>58</v>
      </c>
      <c r="H17" s="2" t="s">
        <v>10</v>
      </c>
      <c r="J17" s="2" t="s">
        <v>59</v>
      </c>
      <c r="K17" s="2" t="s">
        <v>57</v>
      </c>
    </row>
    <row r="18">
      <c r="H18" s="2" t="s">
        <v>14</v>
      </c>
      <c r="J18" s="2" t="s">
        <v>60</v>
      </c>
      <c r="K18" s="2" t="s">
        <v>57</v>
      </c>
    </row>
    <row r="19">
      <c r="H19" s="2" t="s">
        <v>21</v>
      </c>
      <c r="J19" s="2" t="s">
        <v>61</v>
      </c>
      <c r="K19" s="2" t="s">
        <v>57</v>
      </c>
    </row>
    <row r="20">
      <c r="H20" s="2" t="s">
        <v>25</v>
      </c>
      <c r="J20" s="2" t="s">
        <v>62</v>
      </c>
      <c r="K20" s="2" t="s">
        <v>57</v>
      </c>
    </row>
    <row r="21">
      <c r="G21" s="2" t="s">
        <v>63</v>
      </c>
      <c r="H21" s="2" t="s">
        <v>10</v>
      </c>
      <c r="J21" s="2" t="s">
        <v>64</v>
      </c>
      <c r="K21" s="2" t="s">
        <v>65</v>
      </c>
    </row>
    <row r="22">
      <c r="H22" s="2" t="s">
        <v>21</v>
      </c>
      <c r="J22" s="2" t="s">
        <v>66</v>
      </c>
      <c r="K22" s="2" t="s">
        <v>65</v>
      </c>
    </row>
    <row r="23">
      <c r="H23" s="2" t="s">
        <v>25</v>
      </c>
      <c r="J23" s="2" t="s">
        <v>67</v>
      </c>
      <c r="K23" s="2" t="s">
        <v>65</v>
      </c>
    </row>
    <row r="24">
      <c r="G24" s="2" t="s">
        <v>68</v>
      </c>
      <c r="H24" s="2" t="s">
        <v>10</v>
      </c>
      <c r="J24" s="2" t="s">
        <v>69</v>
      </c>
      <c r="K24" s="2" t="s">
        <v>65</v>
      </c>
    </row>
    <row r="25">
      <c r="H25" s="2" t="s">
        <v>14</v>
      </c>
      <c r="J25" s="2" t="s">
        <v>70</v>
      </c>
      <c r="K25" s="2" t="s">
        <v>65</v>
      </c>
    </row>
    <row r="26">
      <c r="H26" s="2" t="s">
        <v>21</v>
      </c>
      <c r="J26" s="2" t="s">
        <v>71</v>
      </c>
      <c r="K26" s="2" t="s">
        <v>72</v>
      </c>
      <c r="M26" s="2" t="s">
        <v>73</v>
      </c>
      <c r="N26" s="2" t="s">
        <v>74</v>
      </c>
    </row>
    <row r="27">
      <c r="H27" s="2" t="s">
        <v>25</v>
      </c>
      <c r="J27" s="2" t="s">
        <v>75</v>
      </c>
      <c r="K27" s="2" t="s">
        <v>72</v>
      </c>
      <c r="M27" s="2" t="s">
        <v>76</v>
      </c>
      <c r="N27" s="2" t="s">
        <v>77</v>
      </c>
    </row>
    <row r="28">
      <c r="G28" s="2" t="s">
        <v>36</v>
      </c>
      <c r="H28" s="2" t="s">
        <v>10</v>
      </c>
      <c r="J28" s="2" t="s">
        <v>78</v>
      </c>
      <c r="K28" s="2" t="s">
        <v>72</v>
      </c>
      <c r="M28" s="2" t="s">
        <v>79</v>
      </c>
      <c r="N28" s="2" t="s">
        <v>77</v>
      </c>
      <c r="O28" s="2" t="s">
        <v>80</v>
      </c>
      <c r="P28" s="2" t="s">
        <v>77</v>
      </c>
    </row>
    <row r="29">
      <c r="H29" s="2" t="s">
        <v>21</v>
      </c>
      <c r="J29" s="2" t="s">
        <v>81</v>
      </c>
      <c r="K29" s="2" t="s">
        <v>82</v>
      </c>
      <c r="O29" s="2" t="s">
        <v>83</v>
      </c>
      <c r="P29" s="2" t="s">
        <v>77</v>
      </c>
    </row>
    <row r="30">
      <c r="G30" s="2" t="s">
        <v>41</v>
      </c>
      <c r="H30" s="2" t="s">
        <v>10</v>
      </c>
      <c r="J30" s="2" t="s">
        <v>84</v>
      </c>
      <c r="K30" s="2" t="s">
        <v>82</v>
      </c>
      <c r="O30" s="2" t="s">
        <v>85</v>
      </c>
      <c r="P30" s="2" t="s">
        <v>77</v>
      </c>
    </row>
    <row r="31">
      <c r="H31" s="2" t="s">
        <v>14</v>
      </c>
      <c r="J31" s="2" t="s">
        <v>86</v>
      </c>
      <c r="K31" s="2" t="s">
        <v>82</v>
      </c>
      <c r="O31" s="2" t="s">
        <v>87</v>
      </c>
      <c r="P31" s="2" t="s">
        <v>77</v>
      </c>
    </row>
    <row r="32">
      <c r="H32" s="2" t="s">
        <v>21</v>
      </c>
      <c r="J32" s="2" t="s">
        <v>88</v>
      </c>
      <c r="K32" s="2" t="s">
        <v>82</v>
      </c>
      <c r="O32" s="2" t="s">
        <v>89</v>
      </c>
      <c r="P32" s="2" t="s">
        <v>77</v>
      </c>
    </row>
    <row r="33">
      <c r="G33" s="2" t="s">
        <v>46</v>
      </c>
      <c r="H33" s="2" t="s">
        <v>18</v>
      </c>
      <c r="J33" s="2" t="s">
        <v>90</v>
      </c>
      <c r="K33" s="2" t="s">
        <v>91</v>
      </c>
      <c r="O33" s="2" t="s">
        <v>92</v>
      </c>
      <c r="P33" s="2" t="s">
        <v>77</v>
      </c>
    </row>
    <row r="34">
      <c r="H34" s="2" t="s">
        <v>21</v>
      </c>
      <c r="J34" s="2" t="s">
        <v>93</v>
      </c>
      <c r="K34" s="2" t="s">
        <v>94</v>
      </c>
      <c r="L34" s="2" t="s">
        <v>95</v>
      </c>
      <c r="O34" s="2" t="s">
        <v>96</v>
      </c>
      <c r="P34" s="2" t="s">
        <v>97</v>
      </c>
    </row>
    <row r="35">
      <c r="G35" s="2" t="s">
        <v>98</v>
      </c>
      <c r="H35" s="2" t="s">
        <v>18</v>
      </c>
      <c r="J35" s="2" t="s">
        <v>99</v>
      </c>
      <c r="K35" s="2" t="s">
        <v>91</v>
      </c>
      <c r="M35" s="2" t="s">
        <v>100</v>
      </c>
      <c r="N35" s="2" t="s">
        <v>101</v>
      </c>
      <c r="O35" s="2" t="s">
        <v>102</v>
      </c>
      <c r="P35" s="2" t="s">
        <v>77</v>
      </c>
      <c r="R35" s="2" t="s">
        <v>103</v>
      </c>
      <c r="S35" s="2" t="s">
        <v>104</v>
      </c>
    </row>
    <row r="36">
      <c r="H36" s="2" t="s">
        <v>21</v>
      </c>
      <c r="J36" s="2" t="s">
        <v>105</v>
      </c>
      <c r="K36" s="2" t="s">
        <v>106</v>
      </c>
      <c r="M36" s="2" t="s">
        <v>107</v>
      </c>
      <c r="N36" s="2" t="s">
        <v>108</v>
      </c>
      <c r="O36" s="2" t="s">
        <v>109</v>
      </c>
      <c r="P36" s="2" t="s">
        <v>97</v>
      </c>
      <c r="R36" s="2" t="s">
        <v>110</v>
      </c>
      <c r="S36" s="2" t="s">
        <v>108</v>
      </c>
    </row>
    <row r="37">
      <c r="G37" s="2" t="s">
        <v>111</v>
      </c>
      <c r="H37" s="2" t="s">
        <v>18</v>
      </c>
      <c r="J37" s="2" t="s">
        <v>112</v>
      </c>
      <c r="K37" s="2" t="s">
        <v>106</v>
      </c>
      <c r="M37" s="2" t="s">
        <v>113</v>
      </c>
      <c r="N37" s="2" t="s">
        <v>108</v>
      </c>
      <c r="R37" s="2" t="s">
        <v>114</v>
      </c>
      <c r="S37" s="2" t="s">
        <v>108</v>
      </c>
    </row>
    <row r="38">
      <c r="H38" s="2" t="s">
        <v>21</v>
      </c>
      <c r="J38" s="2" t="s">
        <v>115</v>
      </c>
      <c r="K38" s="2" t="s">
        <v>106</v>
      </c>
      <c r="M38" s="2" t="s">
        <v>116</v>
      </c>
      <c r="N38" s="2" t="s">
        <v>108</v>
      </c>
    </row>
    <row r="39">
      <c r="G39" s="2" t="s">
        <v>117</v>
      </c>
      <c r="H39" s="2" t="s">
        <v>18</v>
      </c>
      <c r="J39" s="2" t="s">
        <v>118</v>
      </c>
      <c r="K39" s="2" t="s">
        <v>106</v>
      </c>
      <c r="M39" s="2" t="s">
        <v>119</v>
      </c>
      <c r="N39" s="2" t="s">
        <v>120</v>
      </c>
    </row>
    <row r="40">
      <c r="H40" s="2" t="s">
        <v>21</v>
      </c>
      <c r="J40" s="2" t="s">
        <v>121</v>
      </c>
      <c r="K40" s="2" t="s">
        <v>106</v>
      </c>
      <c r="M40" s="2" t="s">
        <v>122</v>
      </c>
      <c r="N40" s="2" t="s">
        <v>123</v>
      </c>
    </row>
    <row r="41">
      <c r="G41" s="2" t="s">
        <v>56</v>
      </c>
      <c r="H41" s="2" t="s">
        <v>10</v>
      </c>
      <c r="J41" s="2" t="s">
        <v>124</v>
      </c>
      <c r="K41" s="2" t="s">
        <v>82</v>
      </c>
      <c r="M41" s="2" t="s">
        <v>125</v>
      </c>
      <c r="N41" s="2" t="s">
        <v>126</v>
      </c>
    </row>
    <row r="42">
      <c r="H42" s="2" t="s">
        <v>14</v>
      </c>
      <c r="J42" s="2" t="s">
        <v>127</v>
      </c>
      <c r="K42" s="2" t="s">
        <v>128</v>
      </c>
      <c r="M42" s="2" t="s">
        <v>129</v>
      </c>
      <c r="N42" s="2" t="s">
        <v>130</v>
      </c>
    </row>
    <row r="43">
      <c r="G43" s="2" t="s">
        <v>131</v>
      </c>
      <c r="J43" s="2" t="s">
        <v>132</v>
      </c>
      <c r="K43" s="2" t="s">
        <v>72</v>
      </c>
      <c r="M43" s="2" t="s">
        <v>133</v>
      </c>
      <c r="N43" s="2" t="s">
        <v>108</v>
      </c>
    </row>
    <row r="44">
      <c r="J44" s="2" t="s">
        <v>134</v>
      </c>
      <c r="K44" s="2" t="s">
        <v>72</v>
      </c>
      <c r="M44" s="2" t="s">
        <v>135</v>
      </c>
      <c r="N44" s="2" t="s">
        <v>136</v>
      </c>
    </row>
    <row r="45">
      <c r="G45" s="2" t="s">
        <v>60</v>
      </c>
      <c r="H45" s="2" t="s">
        <v>10</v>
      </c>
      <c r="J45" s="2" t="s">
        <v>137</v>
      </c>
      <c r="K45" s="2" t="s">
        <v>138</v>
      </c>
      <c r="M45" s="2" t="s">
        <v>139</v>
      </c>
      <c r="N45" s="2" t="s">
        <v>120</v>
      </c>
    </row>
    <row r="46">
      <c r="G46" s="2" t="s">
        <v>140</v>
      </c>
      <c r="H46" s="2" t="s">
        <v>14</v>
      </c>
      <c r="J46" s="2" t="s">
        <v>141</v>
      </c>
      <c r="K46" s="2" t="s">
        <v>138</v>
      </c>
    </row>
    <row r="47">
      <c r="G47" s="2" t="s">
        <v>61</v>
      </c>
      <c r="H47" s="2" t="s">
        <v>10</v>
      </c>
      <c r="J47" s="2" t="s">
        <v>142</v>
      </c>
      <c r="K47" s="2" t="s">
        <v>138</v>
      </c>
    </row>
    <row r="48">
      <c r="H48" s="2" t="s">
        <v>14</v>
      </c>
      <c r="J48" s="2" t="s">
        <v>143</v>
      </c>
      <c r="K48" s="2" t="s">
        <v>138</v>
      </c>
    </row>
    <row r="49">
      <c r="G49" s="2" t="s">
        <v>62</v>
      </c>
      <c r="H49" s="2" t="s">
        <v>10</v>
      </c>
      <c r="I49" s="2" t="s">
        <v>144</v>
      </c>
    </row>
    <row r="50">
      <c r="H50" s="2" t="s">
        <v>14</v>
      </c>
      <c r="J50" s="2" t="s">
        <v>145</v>
      </c>
    </row>
    <row r="51">
      <c r="G51" s="2" t="s">
        <v>64</v>
      </c>
      <c r="H51" s="2" t="s">
        <v>10</v>
      </c>
    </row>
    <row r="52">
      <c r="H52" s="2" t="s">
        <v>14</v>
      </c>
    </row>
    <row r="53">
      <c r="H53" s="2" t="s">
        <v>18</v>
      </c>
    </row>
    <row r="54">
      <c r="H54" s="2" t="s">
        <v>21</v>
      </c>
    </row>
    <row r="55">
      <c r="G55" s="2" t="s">
        <v>66</v>
      </c>
      <c r="H55" s="2" t="s">
        <v>10</v>
      </c>
    </row>
    <row r="56">
      <c r="H56" s="2" t="s">
        <v>14</v>
      </c>
    </row>
    <row r="57">
      <c r="H57" s="2" t="s">
        <v>18</v>
      </c>
    </row>
    <row r="58">
      <c r="H58" s="2" t="s">
        <v>21</v>
      </c>
    </row>
    <row r="59">
      <c r="G59" s="2" t="s">
        <v>67</v>
      </c>
      <c r="H59" s="2" t="s">
        <v>10</v>
      </c>
    </row>
    <row r="60">
      <c r="H60" s="2" t="s">
        <v>14</v>
      </c>
    </row>
    <row r="61">
      <c r="H61" s="2" t="s">
        <v>18</v>
      </c>
    </row>
    <row r="62">
      <c r="H62" s="2" t="s">
        <v>21</v>
      </c>
    </row>
    <row r="63">
      <c r="G63" s="2" t="s">
        <v>69</v>
      </c>
      <c r="H63" s="2" t="s">
        <v>10</v>
      </c>
    </row>
    <row r="64">
      <c r="H64" s="2" t="s">
        <v>14</v>
      </c>
    </row>
    <row r="65">
      <c r="H65" s="2" t="s">
        <v>18</v>
      </c>
    </row>
    <row r="66">
      <c r="H66" s="2" t="s">
        <v>21</v>
      </c>
    </row>
    <row r="67">
      <c r="G67" s="2" t="s">
        <v>70</v>
      </c>
      <c r="H67" s="2" t="s">
        <v>10</v>
      </c>
    </row>
    <row r="68">
      <c r="H68" s="2" t="s">
        <v>14</v>
      </c>
    </row>
    <row r="69">
      <c r="H69" s="2" t="s">
        <v>18</v>
      </c>
    </row>
    <row r="70">
      <c r="H70" s="2" t="s">
        <v>21</v>
      </c>
    </row>
    <row r="71">
      <c r="G71" s="2" t="s">
        <v>71</v>
      </c>
      <c r="H71" s="2" t="s">
        <v>10</v>
      </c>
    </row>
    <row r="72">
      <c r="H72" s="2" t="s">
        <v>18</v>
      </c>
    </row>
    <row r="73">
      <c r="G73" s="2" t="s">
        <v>75</v>
      </c>
      <c r="H73" s="2" t="s">
        <v>10</v>
      </c>
    </row>
    <row r="74">
      <c r="H74" s="2" t="s">
        <v>18</v>
      </c>
    </row>
    <row r="75">
      <c r="G75" s="2" t="s">
        <v>78</v>
      </c>
      <c r="H75" s="2" t="s">
        <v>10</v>
      </c>
    </row>
    <row r="76">
      <c r="H76" s="2" t="s">
        <v>18</v>
      </c>
    </row>
    <row r="77">
      <c r="G77" s="2" t="s">
        <v>81</v>
      </c>
      <c r="H77" s="2" t="s">
        <v>10</v>
      </c>
    </row>
    <row r="78">
      <c r="H78" s="2" t="s">
        <v>18</v>
      </c>
    </row>
    <row r="79">
      <c r="H79" s="2" t="s">
        <v>43</v>
      </c>
    </row>
    <row r="80">
      <c r="H80" s="2" t="s">
        <v>25</v>
      </c>
    </row>
    <row r="81">
      <c r="G81" s="2" t="s">
        <v>84</v>
      </c>
      <c r="H81" s="2" t="s">
        <v>10</v>
      </c>
    </row>
    <row r="82">
      <c r="H82" s="2" t="s">
        <v>18</v>
      </c>
    </row>
    <row r="83">
      <c r="H83" s="2" t="s">
        <v>43</v>
      </c>
    </row>
    <row r="84">
      <c r="H84" s="2" t="s">
        <v>25</v>
      </c>
    </row>
    <row r="85">
      <c r="G85" s="2" t="s">
        <v>86</v>
      </c>
      <c r="H85" s="2" t="s">
        <v>10</v>
      </c>
    </row>
    <row r="86">
      <c r="H86" s="2" t="s">
        <v>18</v>
      </c>
    </row>
    <row r="87">
      <c r="H87" s="2" t="s">
        <v>43</v>
      </c>
    </row>
    <row r="88">
      <c r="H88" s="2" t="s">
        <v>25</v>
      </c>
    </row>
    <row r="89">
      <c r="G89" s="2" t="s">
        <v>88</v>
      </c>
      <c r="H89" s="2" t="s">
        <v>10</v>
      </c>
    </row>
    <row r="90">
      <c r="H90" s="2" t="s">
        <v>18</v>
      </c>
    </row>
    <row r="91">
      <c r="H91" s="2" t="s">
        <v>43</v>
      </c>
    </row>
    <row r="92">
      <c r="H92" s="2" t="s">
        <v>25</v>
      </c>
    </row>
    <row r="93">
      <c r="G93" s="2" t="s">
        <v>90</v>
      </c>
      <c r="H93" s="2" t="s">
        <v>43</v>
      </c>
    </row>
    <row r="94">
      <c r="H94" s="2" t="s">
        <v>48</v>
      </c>
    </row>
    <row r="95">
      <c r="H95" s="2" t="s">
        <v>25</v>
      </c>
    </row>
    <row r="96">
      <c r="G96" s="2" t="s">
        <v>93</v>
      </c>
      <c r="H96" s="2" t="s">
        <v>43</v>
      </c>
    </row>
    <row r="97">
      <c r="H97" s="2" t="s">
        <v>48</v>
      </c>
    </row>
    <row r="98">
      <c r="G98" s="2" t="s">
        <v>99</v>
      </c>
    </row>
    <row r="101">
      <c r="G101" s="2" t="s">
        <v>105</v>
      </c>
      <c r="H101" s="2" t="s">
        <v>25</v>
      </c>
    </row>
    <row r="102">
      <c r="G102" s="2" t="s">
        <v>112</v>
      </c>
      <c r="H102" s="2" t="s">
        <v>25</v>
      </c>
    </row>
    <row r="103">
      <c r="G103" s="2" t="s">
        <v>115</v>
      </c>
      <c r="H103" s="2" t="s">
        <v>25</v>
      </c>
    </row>
    <row r="104">
      <c r="G104" s="2" t="s">
        <v>118</v>
      </c>
      <c r="H104" s="2" t="s">
        <v>25</v>
      </c>
    </row>
    <row r="105">
      <c r="G105" s="2" t="s">
        <v>121</v>
      </c>
      <c r="H105" s="2" t="s">
        <v>25</v>
      </c>
    </row>
    <row r="106">
      <c r="G106" s="2" t="s">
        <v>127</v>
      </c>
      <c r="H106" s="2" t="s">
        <v>43</v>
      </c>
    </row>
    <row r="107">
      <c r="H107" s="2" t="s">
        <v>48</v>
      </c>
    </row>
    <row r="108">
      <c r="H108" s="2" t="s">
        <v>25</v>
      </c>
    </row>
    <row r="109">
      <c r="G109" s="2" t="s">
        <v>132</v>
      </c>
      <c r="H109" s="2" t="s">
        <v>10</v>
      </c>
    </row>
    <row r="110">
      <c r="H110" s="2" t="s">
        <v>18</v>
      </c>
    </row>
    <row r="111">
      <c r="G111" s="2" t="s">
        <v>134</v>
      </c>
      <c r="H111" s="2" t="s">
        <v>10</v>
      </c>
    </row>
    <row r="112">
      <c r="H112" s="2" t="s">
        <v>18</v>
      </c>
    </row>
    <row r="113">
      <c r="G113" s="2" t="s">
        <v>137</v>
      </c>
      <c r="H113" s="2" t="s">
        <v>10</v>
      </c>
    </row>
    <row r="114">
      <c r="H114" s="2" t="s">
        <v>28</v>
      </c>
    </row>
    <row r="115">
      <c r="B115" s="6"/>
      <c r="C115" s="6"/>
      <c r="D115" s="6"/>
      <c r="E115" s="6"/>
      <c r="F115" s="6"/>
      <c r="G115" s="2" t="s">
        <v>141</v>
      </c>
      <c r="H115" s="7" t="s">
        <v>10</v>
      </c>
      <c r="I115" s="6"/>
      <c r="J115" s="6"/>
      <c r="K115" s="6"/>
    </row>
    <row r="116">
      <c r="B116" s="8"/>
      <c r="C116" s="8"/>
      <c r="D116" s="8"/>
      <c r="E116" s="8"/>
      <c r="F116" s="8"/>
      <c r="G116" s="8"/>
      <c r="H116" s="9" t="s">
        <v>28</v>
      </c>
      <c r="I116" s="8"/>
      <c r="J116" s="8"/>
      <c r="K116" s="6"/>
    </row>
    <row r="117">
      <c r="B117" s="8"/>
      <c r="C117" s="8"/>
      <c r="D117" s="8"/>
      <c r="E117" s="8"/>
      <c r="F117" s="8"/>
      <c r="G117" s="2" t="s">
        <v>142</v>
      </c>
      <c r="H117" s="9" t="s">
        <v>10</v>
      </c>
      <c r="I117" s="8"/>
      <c r="J117" s="8"/>
      <c r="K117" s="6"/>
    </row>
    <row r="118">
      <c r="H118" s="2" t="s">
        <v>28</v>
      </c>
    </row>
    <row r="119">
      <c r="G119" s="2" t="s">
        <v>146</v>
      </c>
      <c r="H119" s="2" t="s">
        <v>33</v>
      </c>
    </row>
    <row r="120">
      <c r="G120" s="2" t="s">
        <v>143</v>
      </c>
      <c r="H120" s="2" t="s">
        <v>28</v>
      </c>
    </row>
    <row r="121">
      <c r="G121" s="2" t="s">
        <v>73</v>
      </c>
      <c r="H121" s="2" t="s">
        <v>21</v>
      </c>
    </row>
    <row r="122">
      <c r="H122" s="2" t="s">
        <v>38</v>
      </c>
    </row>
    <row r="123">
      <c r="G123" s="2" t="s">
        <v>79</v>
      </c>
      <c r="H123" s="2" t="s">
        <v>33</v>
      </c>
    </row>
    <row r="124">
      <c r="H124" s="2" t="s">
        <v>38</v>
      </c>
    </row>
    <row r="125">
      <c r="G125" s="2" t="s">
        <v>100</v>
      </c>
      <c r="H125" s="2" t="s">
        <v>28</v>
      </c>
    </row>
    <row r="126">
      <c r="H126" s="2" t="s">
        <v>33</v>
      </c>
    </row>
    <row r="127">
      <c r="H127" s="2" t="s">
        <v>48</v>
      </c>
    </row>
    <row r="145">
      <c r="B145" s="6">
        <v>66.0</v>
      </c>
      <c r="C145" s="6">
        <v>42.0</v>
      </c>
      <c r="D145" s="6">
        <v>53.0</v>
      </c>
      <c r="E145" s="6">
        <v>50.0</v>
      </c>
      <c r="F145" s="6">
        <v>58.0</v>
      </c>
      <c r="G145" s="6">
        <v>23.0</v>
      </c>
      <c r="H145" s="6">
        <v>18.0</v>
      </c>
      <c r="I145" s="6">
        <v>30.0</v>
      </c>
      <c r="J145" s="6">
        <v>40.0</v>
      </c>
      <c r="K145" s="6">
        <v>21.0</v>
      </c>
    </row>
    <row r="146">
      <c r="B146" s="8"/>
      <c r="C146" s="8"/>
      <c r="D146" s="8"/>
      <c r="E146" s="8"/>
      <c r="F146" s="8"/>
      <c r="G146" s="8"/>
      <c r="H146" s="8"/>
      <c r="I146" s="8"/>
      <c r="J146" s="8"/>
      <c r="K146" s="6">
        <f>SUM(B145:K145)</f>
        <v>401</v>
      </c>
    </row>
    <row r="147">
      <c r="B147" s="8"/>
      <c r="C147" s="8"/>
      <c r="D147" s="8"/>
      <c r="E147" s="8"/>
      <c r="F147" s="8"/>
      <c r="G147" s="8"/>
      <c r="H147" s="8"/>
      <c r="I147" s="8"/>
      <c r="J147" s="8"/>
      <c r="K147" s="6">
        <f>K146/10</f>
        <v>40.1</v>
      </c>
    </row>
  </sheetData>
  <mergeCells count="2">
    <mergeCell ref="A2:B3"/>
    <mergeCell ref="G2:I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5" max="5" width="25.0"/>
    <col customWidth="1" min="9" max="9" width="25.0"/>
  </cols>
  <sheetData>
    <row r="1">
      <c r="A1" s="1" t="s">
        <v>1</v>
      </c>
      <c r="E1" s="10"/>
      <c r="H1" s="11"/>
      <c r="I1" s="10"/>
    </row>
    <row r="2">
      <c r="H2" s="11"/>
    </row>
    <row r="3">
      <c r="A3" s="4" t="s">
        <v>7</v>
      </c>
      <c r="B3" s="4" t="s">
        <v>4</v>
      </c>
      <c r="E3" s="12"/>
      <c r="F3" s="12"/>
      <c r="G3" s="11"/>
      <c r="H3" s="11"/>
      <c r="I3" s="12"/>
      <c r="J3" s="12"/>
      <c r="K3" s="11"/>
    </row>
    <row r="4">
      <c r="A4" s="13" t="s">
        <v>147</v>
      </c>
      <c r="B4" s="2" t="s">
        <v>10</v>
      </c>
      <c r="E4" s="11"/>
      <c r="F4" s="11"/>
      <c r="G4" s="11"/>
      <c r="H4" s="11"/>
      <c r="I4" s="14"/>
      <c r="J4" s="11"/>
      <c r="K4" s="11"/>
    </row>
    <row r="5">
      <c r="A5" s="13" t="s">
        <v>147</v>
      </c>
      <c r="B5" s="2" t="s">
        <v>14</v>
      </c>
      <c r="I5" s="13"/>
    </row>
    <row r="6">
      <c r="A6" s="13" t="s">
        <v>147</v>
      </c>
      <c r="B6" s="2" t="s">
        <v>21</v>
      </c>
      <c r="I6" s="13"/>
    </row>
    <row r="7">
      <c r="A7" s="13" t="s">
        <v>147</v>
      </c>
      <c r="B7" s="2" t="s">
        <v>25</v>
      </c>
      <c r="I7" s="13"/>
    </row>
    <row r="8">
      <c r="A8" s="13" t="s">
        <v>148</v>
      </c>
      <c r="B8" s="2" t="s">
        <v>10</v>
      </c>
      <c r="I8" s="13"/>
    </row>
    <row r="9">
      <c r="A9" s="13" t="s">
        <v>148</v>
      </c>
      <c r="B9" s="2" t="s">
        <v>14</v>
      </c>
      <c r="I9" s="13"/>
    </row>
    <row r="10">
      <c r="A10" s="13" t="s">
        <v>149</v>
      </c>
      <c r="B10" s="8" t="s">
        <v>10</v>
      </c>
      <c r="I10" s="13"/>
    </row>
    <row r="11">
      <c r="A11" s="13" t="s">
        <v>149</v>
      </c>
      <c r="B11" s="8" t="s">
        <v>14</v>
      </c>
      <c r="I11" s="13"/>
    </row>
    <row r="12">
      <c r="A12" s="13" t="s">
        <v>150</v>
      </c>
      <c r="B12" s="8" t="s">
        <v>10</v>
      </c>
      <c r="I12" s="13"/>
    </row>
    <row r="13">
      <c r="A13" s="13" t="s">
        <v>150</v>
      </c>
      <c r="B13" s="8" t="s">
        <v>14</v>
      </c>
      <c r="I13" s="13"/>
    </row>
    <row r="14">
      <c r="A14" s="13" t="s">
        <v>151</v>
      </c>
      <c r="B14" s="8" t="s">
        <v>10</v>
      </c>
      <c r="I14" s="13"/>
    </row>
    <row r="15">
      <c r="A15" s="13" t="s">
        <v>151</v>
      </c>
      <c r="B15" s="9" t="s">
        <v>14</v>
      </c>
      <c r="I15" s="13"/>
    </row>
    <row r="16">
      <c r="A16" s="13" t="s">
        <v>151</v>
      </c>
      <c r="B16" s="8" t="s">
        <v>21</v>
      </c>
      <c r="I16" s="13"/>
    </row>
    <row r="17">
      <c r="A17" s="13" t="s">
        <v>151</v>
      </c>
      <c r="B17" s="8" t="s">
        <v>25</v>
      </c>
      <c r="I17" s="13"/>
    </row>
    <row r="18">
      <c r="A18" s="13" t="s">
        <v>152</v>
      </c>
      <c r="B18" s="8" t="s">
        <v>10</v>
      </c>
      <c r="I18" s="13"/>
    </row>
    <row r="19">
      <c r="A19" s="13" t="s">
        <v>152</v>
      </c>
      <c r="B19" s="2" t="s">
        <v>14</v>
      </c>
      <c r="I19" s="13"/>
    </row>
    <row r="20">
      <c r="A20" s="13" t="s">
        <v>152</v>
      </c>
      <c r="B20" s="2" t="s">
        <v>21</v>
      </c>
    </row>
    <row r="21">
      <c r="A21" s="13" t="s">
        <v>153</v>
      </c>
      <c r="B21" s="8" t="s">
        <v>10</v>
      </c>
    </row>
    <row r="22">
      <c r="A22" s="13" t="s">
        <v>153</v>
      </c>
      <c r="B22" s="8" t="s">
        <v>14</v>
      </c>
      <c r="I22" s="13"/>
    </row>
    <row r="23">
      <c r="A23" s="13" t="s">
        <v>154</v>
      </c>
      <c r="B23" s="8" t="s">
        <v>10</v>
      </c>
      <c r="I23" s="13"/>
    </row>
    <row r="24">
      <c r="A24" s="13" t="s">
        <v>154</v>
      </c>
      <c r="B24" s="9" t="s">
        <v>14</v>
      </c>
      <c r="I24" s="13"/>
    </row>
    <row r="25">
      <c r="A25" s="13" t="s">
        <v>155</v>
      </c>
      <c r="B25" s="8" t="s">
        <v>10</v>
      </c>
      <c r="I25" s="13"/>
    </row>
    <row r="26">
      <c r="A26" s="13" t="s">
        <v>155</v>
      </c>
      <c r="B26" s="9" t="s">
        <v>14</v>
      </c>
      <c r="I26" s="13"/>
    </row>
    <row r="27">
      <c r="A27" s="13" t="s">
        <v>156</v>
      </c>
      <c r="B27" s="8" t="s">
        <v>10</v>
      </c>
      <c r="I27" s="13"/>
    </row>
    <row r="28">
      <c r="A28" s="13" t="s">
        <v>156</v>
      </c>
      <c r="B28" s="9" t="s">
        <v>14</v>
      </c>
      <c r="I28" s="13"/>
    </row>
    <row r="29">
      <c r="A29" s="13" t="s">
        <v>157</v>
      </c>
      <c r="B29" s="8" t="s">
        <v>10</v>
      </c>
      <c r="I29" s="13"/>
    </row>
    <row r="30">
      <c r="A30" s="13" t="s">
        <v>157</v>
      </c>
      <c r="B30" s="9" t="s">
        <v>14</v>
      </c>
      <c r="I30" s="13"/>
    </row>
    <row r="31">
      <c r="A31" s="15" t="s">
        <v>158</v>
      </c>
      <c r="B31" s="8" t="s">
        <v>10</v>
      </c>
      <c r="I31" s="13"/>
    </row>
    <row r="32">
      <c r="A32" s="15" t="s">
        <v>159</v>
      </c>
      <c r="B32" s="9" t="s">
        <v>14</v>
      </c>
      <c r="I32" s="13"/>
    </row>
    <row r="33">
      <c r="A33" s="15" t="s">
        <v>160</v>
      </c>
      <c r="B33" s="2" t="s">
        <v>18</v>
      </c>
      <c r="I33" s="13"/>
    </row>
    <row r="34">
      <c r="A34" s="15" t="s">
        <v>161</v>
      </c>
      <c r="B34" s="2" t="s">
        <v>21</v>
      </c>
      <c r="I34" s="13"/>
    </row>
    <row r="35">
      <c r="A35" s="13" t="s">
        <v>66</v>
      </c>
      <c r="B35" s="8" t="s">
        <v>10</v>
      </c>
    </row>
    <row r="36">
      <c r="A36" s="13" t="s">
        <v>162</v>
      </c>
      <c r="B36" s="8" t="s">
        <v>14</v>
      </c>
    </row>
    <row r="37">
      <c r="A37" s="13" t="s">
        <v>163</v>
      </c>
      <c r="B37" s="8" t="s">
        <v>18</v>
      </c>
      <c r="I37" s="13"/>
    </row>
    <row r="38">
      <c r="A38" s="13" t="s">
        <v>164</v>
      </c>
      <c r="B38" s="8" t="s">
        <v>21</v>
      </c>
    </row>
    <row r="39">
      <c r="A39" s="13" t="s">
        <v>67</v>
      </c>
      <c r="B39" s="8" t="s">
        <v>10</v>
      </c>
    </row>
    <row r="40">
      <c r="A40" s="13" t="s">
        <v>67</v>
      </c>
      <c r="B40" s="8" t="s">
        <v>14</v>
      </c>
    </row>
    <row r="41">
      <c r="A41" s="13" t="s">
        <v>67</v>
      </c>
      <c r="B41" s="9" t="s">
        <v>18</v>
      </c>
    </row>
    <row r="42">
      <c r="A42" s="13" t="s">
        <v>67</v>
      </c>
      <c r="B42" s="9" t="s">
        <v>21</v>
      </c>
    </row>
    <row r="43">
      <c r="A43" s="13" t="s">
        <v>69</v>
      </c>
      <c r="B43" s="8" t="s">
        <v>10</v>
      </c>
    </row>
    <row r="44">
      <c r="A44" s="13" t="s">
        <v>69</v>
      </c>
      <c r="B44" s="8" t="s">
        <v>14</v>
      </c>
    </row>
    <row r="45">
      <c r="A45" s="13" t="s">
        <v>69</v>
      </c>
      <c r="B45" s="8" t="s">
        <v>18</v>
      </c>
    </row>
    <row r="46">
      <c r="A46" s="13" t="s">
        <v>69</v>
      </c>
      <c r="B46" s="8" t="s">
        <v>21</v>
      </c>
      <c r="I46" s="13"/>
    </row>
    <row r="47">
      <c r="A47" s="13" t="s">
        <v>165</v>
      </c>
      <c r="B47" s="8" t="s">
        <v>10</v>
      </c>
      <c r="I47" s="13"/>
    </row>
    <row r="48">
      <c r="A48" s="13" t="s">
        <v>165</v>
      </c>
      <c r="B48" s="8" t="s">
        <v>14</v>
      </c>
      <c r="I48" s="13"/>
    </row>
    <row r="49">
      <c r="A49" s="13" t="s">
        <v>165</v>
      </c>
      <c r="B49" s="8" t="s">
        <v>18</v>
      </c>
      <c r="I49" s="13"/>
    </row>
    <row r="50">
      <c r="A50" s="13" t="s">
        <v>165</v>
      </c>
      <c r="B50" s="8" t="s">
        <v>21</v>
      </c>
      <c r="I50" s="13"/>
    </row>
    <row r="51">
      <c r="A51" s="13" t="s">
        <v>166</v>
      </c>
      <c r="B51" s="8" t="s">
        <v>10</v>
      </c>
      <c r="I51" s="13"/>
    </row>
    <row r="52">
      <c r="A52" s="13" t="s">
        <v>166</v>
      </c>
      <c r="B52" s="8" t="s">
        <v>18</v>
      </c>
      <c r="I52" s="13"/>
    </row>
    <row r="53">
      <c r="A53" s="13" t="s">
        <v>167</v>
      </c>
      <c r="B53" s="8" t="s">
        <v>10</v>
      </c>
      <c r="I53" s="13"/>
    </row>
    <row r="54">
      <c r="A54" s="13" t="s">
        <v>167</v>
      </c>
      <c r="B54" s="8" t="s">
        <v>18</v>
      </c>
      <c r="I54" s="13"/>
    </row>
    <row r="55">
      <c r="A55" s="13" t="s">
        <v>168</v>
      </c>
      <c r="B55" s="8" t="s">
        <v>10</v>
      </c>
      <c r="I55" s="13"/>
    </row>
    <row r="56">
      <c r="A56" s="13" t="s">
        <v>168</v>
      </c>
      <c r="B56" s="8" t="s">
        <v>18</v>
      </c>
      <c r="I56" s="13"/>
    </row>
    <row r="57">
      <c r="A57" s="13" t="s">
        <v>169</v>
      </c>
      <c r="B57" s="8" t="s">
        <v>10</v>
      </c>
      <c r="I57" s="13"/>
    </row>
    <row r="58">
      <c r="A58" s="13" t="s">
        <v>169</v>
      </c>
      <c r="B58" s="8" t="s">
        <v>18</v>
      </c>
      <c r="I58" s="13"/>
    </row>
    <row r="59">
      <c r="A59" s="13" t="s">
        <v>169</v>
      </c>
      <c r="B59" s="8" t="s">
        <v>43</v>
      </c>
      <c r="I59" s="13"/>
    </row>
    <row r="60">
      <c r="A60" s="13" t="s">
        <v>169</v>
      </c>
      <c r="B60" s="8" t="s">
        <v>25</v>
      </c>
      <c r="I60" s="13"/>
    </row>
    <row r="61">
      <c r="A61" s="13" t="s">
        <v>170</v>
      </c>
      <c r="B61" s="8" t="s">
        <v>10</v>
      </c>
      <c r="I61" s="13"/>
    </row>
    <row r="62">
      <c r="A62" s="13" t="s">
        <v>170</v>
      </c>
      <c r="B62" s="8" t="s">
        <v>18</v>
      </c>
    </row>
    <row r="63">
      <c r="A63" s="13" t="s">
        <v>170</v>
      </c>
      <c r="B63" s="8" t="s">
        <v>43</v>
      </c>
    </row>
    <row r="64">
      <c r="A64" s="13" t="s">
        <v>170</v>
      </c>
      <c r="B64" s="9" t="s">
        <v>25</v>
      </c>
    </row>
    <row r="65">
      <c r="A65" s="13" t="s">
        <v>171</v>
      </c>
      <c r="B65" s="8" t="s">
        <v>10</v>
      </c>
    </row>
    <row r="66">
      <c r="A66" s="13" t="s">
        <v>171</v>
      </c>
      <c r="B66" s="8" t="s">
        <v>18</v>
      </c>
    </row>
    <row r="67">
      <c r="A67" s="13" t="s">
        <v>171</v>
      </c>
      <c r="B67" s="8" t="s">
        <v>43</v>
      </c>
    </row>
    <row r="68">
      <c r="A68" s="13" t="s">
        <v>171</v>
      </c>
      <c r="B68" s="8" t="s">
        <v>25</v>
      </c>
    </row>
    <row r="69">
      <c r="A69" s="13" t="s">
        <v>172</v>
      </c>
      <c r="B69" s="8" t="s">
        <v>10</v>
      </c>
    </row>
    <row r="70">
      <c r="A70" s="13" t="s">
        <v>172</v>
      </c>
      <c r="B70" s="8" t="s">
        <v>18</v>
      </c>
    </row>
    <row r="71">
      <c r="A71" s="13" t="s">
        <v>172</v>
      </c>
      <c r="B71" s="8" t="s">
        <v>43</v>
      </c>
    </row>
    <row r="72">
      <c r="A72" s="13" t="s">
        <v>172</v>
      </c>
      <c r="B72" s="8" t="s">
        <v>25</v>
      </c>
    </row>
    <row r="73">
      <c r="A73" s="13" t="s">
        <v>173</v>
      </c>
      <c r="B73" s="8" t="s">
        <v>10</v>
      </c>
    </row>
    <row r="74">
      <c r="A74" s="13" t="s">
        <v>173</v>
      </c>
      <c r="B74" s="8" t="s">
        <v>18</v>
      </c>
    </row>
    <row r="75">
      <c r="A75" s="13" t="s">
        <v>174</v>
      </c>
      <c r="B75" s="8" t="s">
        <v>10</v>
      </c>
    </row>
    <row r="76">
      <c r="A76" s="13" t="s">
        <v>174</v>
      </c>
      <c r="B76" s="8" t="s">
        <v>18</v>
      </c>
    </row>
    <row r="77">
      <c r="A77" s="13" t="s">
        <v>175</v>
      </c>
      <c r="B77" s="8" t="s">
        <v>10</v>
      </c>
    </row>
    <row r="78">
      <c r="A78" s="13" t="s">
        <v>175</v>
      </c>
      <c r="B78" s="8" t="s">
        <v>28</v>
      </c>
    </row>
    <row r="79">
      <c r="A79" s="13" t="s">
        <v>176</v>
      </c>
      <c r="B79" s="8" t="s">
        <v>10</v>
      </c>
    </row>
    <row r="80">
      <c r="A80" s="13" t="s">
        <v>176</v>
      </c>
      <c r="B80" s="8" t="s">
        <v>28</v>
      </c>
    </row>
    <row r="81">
      <c r="A81" s="13" t="s">
        <v>177</v>
      </c>
      <c r="B81" s="8" t="s">
        <v>10</v>
      </c>
    </row>
    <row r="82">
      <c r="A82" s="8"/>
      <c r="B82" s="8" t="s">
        <v>28</v>
      </c>
    </row>
    <row r="83">
      <c r="A83" s="13" t="s">
        <v>178</v>
      </c>
      <c r="B83" s="8" t="s">
        <v>10</v>
      </c>
    </row>
    <row r="84">
      <c r="A84" s="8"/>
      <c r="B84" s="8" t="s">
        <v>28</v>
      </c>
    </row>
    <row r="85">
      <c r="A85" s="13" t="s">
        <v>179</v>
      </c>
      <c r="B85" s="8" t="s">
        <v>10</v>
      </c>
    </row>
    <row r="86">
      <c r="A86" s="8"/>
      <c r="B86" s="8" t="s">
        <v>28</v>
      </c>
    </row>
    <row r="87">
      <c r="A87" s="13" t="s">
        <v>180</v>
      </c>
      <c r="B87" s="8" t="s">
        <v>10</v>
      </c>
    </row>
    <row r="88">
      <c r="A88" s="8"/>
      <c r="B88" s="8" t="s">
        <v>28</v>
      </c>
    </row>
    <row r="89">
      <c r="A89" s="13" t="s">
        <v>181</v>
      </c>
      <c r="B89" s="8" t="s">
        <v>10</v>
      </c>
    </row>
    <row r="90">
      <c r="A90" s="8"/>
      <c r="B90" s="8" t="s">
        <v>14</v>
      </c>
    </row>
    <row r="91">
      <c r="A91" s="13" t="s">
        <v>182</v>
      </c>
      <c r="B91" s="8" t="s">
        <v>10</v>
      </c>
    </row>
    <row r="92">
      <c r="A92" s="8"/>
      <c r="B92" s="8" t="s">
        <v>21</v>
      </c>
    </row>
    <row r="93">
      <c r="A93" s="8"/>
      <c r="B93" s="8" t="s">
        <v>28</v>
      </c>
    </row>
    <row r="94">
      <c r="A94" s="13" t="s">
        <v>183</v>
      </c>
      <c r="B94" s="8" t="s">
        <v>10</v>
      </c>
    </row>
    <row r="95">
      <c r="A95" s="8"/>
      <c r="B95" s="8" t="s">
        <v>18</v>
      </c>
    </row>
    <row r="96">
      <c r="A96" s="8"/>
      <c r="B96" s="8" t="s">
        <v>21</v>
      </c>
    </row>
    <row r="97">
      <c r="A97" s="8"/>
      <c r="B97" s="8" t="s">
        <v>28</v>
      </c>
    </row>
    <row r="98">
      <c r="A98" s="15" t="s">
        <v>184</v>
      </c>
      <c r="B98" s="8" t="s">
        <v>10</v>
      </c>
      <c r="F98" s="8"/>
    </row>
    <row r="99">
      <c r="A99" s="8"/>
      <c r="B99" s="8" t="s">
        <v>21</v>
      </c>
      <c r="F99" s="8"/>
    </row>
    <row r="100">
      <c r="A100" s="8"/>
      <c r="B100" s="8" t="s">
        <v>28</v>
      </c>
    </row>
    <row r="101">
      <c r="A101" s="13" t="s">
        <v>185</v>
      </c>
      <c r="B101" s="8" t="s">
        <v>10</v>
      </c>
    </row>
    <row r="102">
      <c r="A102" s="8"/>
      <c r="B102" s="16" t="s">
        <v>21</v>
      </c>
    </row>
    <row r="103">
      <c r="A103" s="8"/>
      <c r="B103" s="16" t="s">
        <v>28</v>
      </c>
    </row>
    <row r="104">
      <c r="A104" s="13" t="s">
        <v>186</v>
      </c>
      <c r="B104" s="16" t="s">
        <v>10</v>
      </c>
    </row>
    <row r="105">
      <c r="A105" s="8"/>
      <c r="B105" s="8" t="s">
        <v>21</v>
      </c>
    </row>
    <row r="106">
      <c r="A106" s="8"/>
      <c r="B106" s="8" t="s">
        <v>28</v>
      </c>
    </row>
    <row r="107">
      <c r="A107" s="13" t="s">
        <v>187</v>
      </c>
      <c r="B107" s="8" t="s">
        <v>10</v>
      </c>
    </row>
    <row r="108">
      <c r="A108" s="8"/>
      <c r="B108" s="8" t="s">
        <v>28</v>
      </c>
    </row>
    <row r="109">
      <c r="A109" s="13" t="s">
        <v>188</v>
      </c>
      <c r="B109" s="2" t="s">
        <v>14</v>
      </c>
    </row>
    <row r="110">
      <c r="A110" s="13"/>
      <c r="B110" s="2" t="s">
        <v>38</v>
      </c>
    </row>
    <row r="111">
      <c r="A111" s="13" t="s">
        <v>189</v>
      </c>
      <c r="B111" s="2" t="s">
        <v>14</v>
      </c>
    </row>
    <row r="112">
      <c r="A112" s="13"/>
      <c r="B112" s="2" t="s">
        <v>38</v>
      </c>
    </row>
    <row r="113">
      <c r="A113" s="13" t="s">
        <v>190</v>
      </c>
      <c r="B113" s="2" t="s">
        <v>14</v>
      </c>
    </row>
    <row r="114">
      <c r="A114" s="13"/>
      <c r="B114" s="2" t="s">
        <v>38</v>
      </c>
    </row>
    <row r="115">
      <c r="A115" s="13" t="s">
        <v>191</v>
      </c>
      <c r="B115" s="2" t="s">
        <v>14</v>
      </c>
    </row>
    <row r="116">
      <c r="A116" s="13"/>
      <c r="B116" s="2" t="s">
        <v>28</v>
      </c>
    </row>
    <row r="117">
      <c r="A117" s="13" t="s">
        <v>192</v>
      </c>
      <c r="B117" s="2" t="s">
        <v>14</v>
      </c>
    </row>
    <row r="118">
      <c r="A118" s="13"/>
      <c r="B118" s="2" t="s">
        <v>28</v>
      </c>
    </row>
    <row r="119">
      <c r="A119" s="13" t="s">
        <v>193</v>
      </c>
      <c r="B119" s="2" t="s">
        <v>14</v>
      </c>
    </row>
    <row r="120">
      <c r="A120" s="13"/>
      <c r="B120" s="2" t="s">
        <v>48</v>
      </c>
      <c r="C120" s="6"/>
    </row>
    <row r="121">
      <c r="A121" s="13" t="s">
        <v>194</v>
      </c>
      <c r="B121" s="2" t="s">
        <v>14</v>
      </c>
      <c r="C121" s="8"/>
    </row>
    <row r="122">
      <c r="A122" s="13"/>
      <c r="B122" s="2" t="s">
        <v>18</v>
      </c>
      <c r="C122" s="8"/>
    </row>
    <row r="123">
      <c r="A123" s="13"/>
      <c r="B123" s="2" t="s">
        <v>48</v>
      </c>
    </row>
    <row r="124">
      <c r="A124" s="13" t="s">
        <v>195</v>
      </c>
      <c r="B124" s="2" t="s">
        <v>14</v>
      </c>
    </row>
    <row r="125">
      <c r="A125" s="13"/>
      <c r="B125" s="2" t="s">
        <v>48</v>
      </c>
    </row>
    <row r="126">
      <c r="A126" s="13"/>
    </row>
    <row r="127">
      <c r="A127" s="13" t="s">
        <v>196</v>
      </c>
      <c r="B127" s="2" t="s">
        <v>18</v>
      </c>
    </row>
    <row r="128">
      <c r="A128" s="13"/>
      <c r="B128" s="2" t="s">
        <v>48</v>
      </c>
    </row>
    <row r="129">
      <c r="A129" s="13" t="s">
        <v>197</v>
      </c>
      <c r="B129" s="2" t="s">
        <v>18</v>
      </c>
    </row>
    <row r="130">
      <c r="A130" s="13"/>
      <c r="B130" s="2" t="s">
        <v>48</v>
      </c>
    </row>
    <row r="131">
      <c r="A131" s="13" t="s">
        <v>198</v>
      </c>
      <c r="B131" s="2" t="s">
        <v>18</v>
      </c>
    </row>
    <row r="132">
      <c r="B132" s="2" t="s">
        <v>48</v>
      </c>
    </row>
    <row r="133">
      <c r="A133" s="13" t="s">
        <v>199</v>
      </c>
      <c r="B133" s="2" t="s">
        <v>18</v>
      </c>
    </row>
    <row r="134">
      <c r="B134" s="2" t="s">
        <v>43</v>
      </c>
    </row>
    <row r="135">
      <c r="A135" s="13"/>
      <c r="B135" s="2" t="s">
        <v>48</v>
      </c>
    </row>
    <row r="136">
      <c r="A136" s="15" t="s">
        <v>200</v>
      </c>
      <c r="B136" s="2" t="s">
        <v>28</v>
      </c>
    </row>
    <row r="137">
      <c r="B137" s="2" t="s">
        <v>33</v>
      </c>
    </row>
    <row r="138">
      <c r="A138" s="13" t="s">
        <v>201</v>
      </c>
      <c r="B138" s="2" t="s">
        <v>18</v>
      </c>
    </row>
    <row r="139">
      <c r="B139" s="2" t="s">
        <v>33</v>
      </c>
    </row>
    <row r="140">
      <c r="A140" s="13" t="s">
        <v>202</v>
      </c>
      <c r="B140" s="2" t="s">
        <v>18</v>
      </c>
    </row>
    <row r="141">
      <c r="B141" s="2" t="s">
        <v>28</v>
      </c>
    </row>
    <row r="142">
      <c r="A142" s="13" t="s">
        <v>203</v>
      </c>
      <c r="B142" s="2" t="s">
        <v>18</v>
      </c>
    </row>
    <row r="143">
      <c r="B143" s="2" t="s">
        <v>28</v>
      </c>
    </row>
    <row r="144">
      <c r="A144" s="13" t="s">
        <v>204</v>
      </c>
      <c r="B144" s="2" t="s">
        <v>18</v>
      </c>
    </row>
    <row r="145">
      <c r="A145" s="13"/>
      <c r="B145" s="2" t="s">
        <v>21</v>
      </c>
    </row>
    <row r="146">
      <c r="A146" s="13" t="s">
        <v>205</v>
      </c>
      <c r="B146" s="2" t="s">
        <v>18</v>
      </c>
    </row>
    <row r="147">
      <c r="B147" s="2" t="s">
        <v>21</v>
      </c>
    </row>
    <row r="148">
      <c r="A148" s="15" t="s">
        <v>206</v>
      </c>
      <c r="B148" s="2" t="s">
        <v>18</v>
      </c>
    </row>
    <row r="149">
      <c r="B149" s="2" t="s">
        <v>21</v>
      </c>
    </row>
    <row r="150">
      <c r="A150" s="15" t="s">
        <v>207</v>
      </c>
      <c r="B150" s="2" t="s">
        <v>18</v>
      </c>
    </row>
    <row r="151">
      <c r="B151" s="2" t="s">
        <v>21</v>
      </c>
    </row>
    <row r="152">
      <c r="A152" s="15" t="s">
        <v>208</v>
      </c>
      <c r="B152" s="2" t="s">
        <v>18</v>
      </c>
    </row>
    <row r="153">
      <c r="B153" s="2" t="s">
        <v>21</v>
      </c>
    </row>
    <row r="154">
      <c r="A154" s="13"/>
    </row>
    <row r="155">
      <c r="A155" s="15" t="s">
        <v>209</v>
      </c>
      <c r="B155" s="9" t="s">
        <v>21</v>
      </c>
    </row>
    <row r="156">
      <c r="A156" s="13"/>
      <c r="B156" s="9" t="s">
        <v>28</v>
      </c>
    </row>
    <row r="157">
      <c r="A157" s="15" t="s">
        <v>210</v>
      </c>
      <c r="B157" s="9" t="s">
        <v>21</v>
      </c>
    </row>
    <row r="158">
      <c r="B158" s="9" t="s">
        <v>28</v>
      </c>
    </row>
    <row r="159">
      <c r="A159" s="2" t="s">
        <v>211</v>
      </c>
      <c r="B159" s="2" t="s">
        <v>21</v>
      </c>
    </row>
    <row r="160">
      <c r="B160" s="2" t="s">
        <v>43</v>
      </c>
    </row>
    <row r="161">
      <c r="A161" s="2" t="s">
        <v>212</v>
      </c>
      <c r="B161" s="2" t="s">
        <v>21</v>
      </c>
    </row>
    <row r="162">
      <c r="B162" s="2" t="s">
        <v>38</v>
      </c>
    </row>
    <row r="163">
      <c r="A163" s="2" t="s">
        <v>26</v>
      </c>
      <c r="B163" s="2" t="s">
        <v>21</v>
      </c>
    </row>
    <row r="164">
      <c r="B164" s="2" t="s">
        <v>25</v>
      </c>
    </row>
    <row r="166">
      <c r="A166" s="2" t="s">
        <v>213</v>
      </c>
      <c r="B166" s="2" t="s">
        <v>28</v>
      </c>
    </row>
    <row r="167">
      <c r="B167" s="2" t="s">
        <v>33</v>
      </c>
    </row>
    <row r="168">
      <c r="A168" s="2" t="s">
        <v>214</v>
      </c>
      <c r="B168" s="2" t="s">
        <v>28</v>
      </c>
    </row>
    <row r="169">
      <c r="B169" s="2" t="s">
        <v>33</v>
      </c>
    </row>
    <row r="170">
      <c r="B170" s="2" t="s">
        <v>48</v>
      </c>
    </row>
    <row r="171">
      <c r="A171" s="2" t="s">
        <v>215</v>
      </c>
      <c r="B171" s="2" t="s">
        <v>28</v>
      </c>
    </row>
    <row r="172">
      <c r="B172" s="2" t="s">
        <v>33</v>
      </c>
    </row>
    <row r="173">
      <c r="B173" s="2" t="s">
        <v>48</v>
      </c>
    </row>
    <row r="174">
      <c r="A174" s="2" t="s">
        <v>216</v>
      </c>
      <c r="B174" s="2" t="s">
        <v>28</v>
      </c>
    </row>
    <row r="175">
      <c r="B175" s="2" t="s">
        <v>33</v>
      </c>
    </row>
    <row r="176">
      <c r="A176" s="17" t="s">
        <v>217</v>
      </c>
      <c r="B176" s="2" t="s">
        <v>28</v>
      </c>
    </row>
    <row r="177">
      <c r="B177" s="2" t="s">
        <v>33</v>
      </c>
    </row>
    <row r="178">
      <c r="A178" s="2" t="s">
        <v>218</v>
      </c>
      <c r="B178" s="2" t="s">
        <v>33</v>
      </c>
    </row>
    <row r="179">
      <c r="B179" s="2" t="s">
        <v>38</v>
      </c>
    </row>
    <row r="180">
      <c r="A180" s="15" t="s">
        <v>219</v>
      </c>
      <c r="B180" s="2" t="s">
        <v>33</v>
      </c>
    </row>
    <row r="181">
      <c r="B181" s="2" t="s">
        <v>38</v>
      </c>
    </row>
    <row r="182">
      <c r="A182" s="2" t="s">
        <v>220</v>
      </c>
      <c r="B182" s="2" t="s">
        <v>33</v>
      </c>
    </row>
    <row r="183">
      <c r="B183" s="2" t="s">
        <v>38</v>
      </c>
    </row>
    <row r="184">
      <c r="A184" s="2" t="s">
        <v>221</v>
      </c>
      <c r="B184" s="2" t="s">
        <v>33</v>
      </c>
    </row>
    <row r="185">
      <c r="B185" s="2" t="s">
        <v>38</v>
      </c>
    </row>
    <row r="186">
      <c r="A186" s="2" t="s">
        <v>222</v>
      </c>
      <c r="B186" s="2" t="s">
        <v>33</v>
      </c>
    </row>
    <row r="187">
      <c r="B187" s="2" t="s">
        <v>38</v>
      </c>
    </row>
    <row r="188">
      <c r="A188" s="2" t="s">
        <v>223</v>
      </c>
      <c r="B188" s="2" t="s">
        <v>33</v>
      </c>
    </row>
    <row r="189">
      <c r="B189" s="2" t="s">
        <v>38</v>
      </c>
    </row>
    <row r="190">
      <c r="A190" s="2" t="s">
        <v>224</v>
      </c>
      <c r="B190" s="2" t="s">
        <v>33</v>
      </c>
    </row>
    <row r="191">
      <c r="B191" s="2" t="s">
        <v>38</v>
      </c>
    </row>
    <row r="192">
      <c r="A192" s="2" t="s">
        <v>225</v>
      </c>
      <c r="B192" s="2" t="s">
        <v>43</v>
      </c>
    </row>
    <row r="193">
      <c r="B193" s="2" t="s">
        <v>48</v>
      </c>
    </row>
    <row r="194">
      <c r="B194" s="2" t="s">
        <v>25</v>
      </c>
    </row>
    <row r="195">
      <c r="A195" s="2" t="s">
        <v>226</v>
      </c>
      <c r="B195" s="2" t="s">
        <v>43</v>
      </c>
    </row>
    <row r="196">
      <c r="B196" s="2" t="s">
        <v>48</v>
      </c>
    </row>
    <row r="197">
      <c r="A197" s="2" t="s">
        <v>227</v>
      </c>
      <c r="B197" s="2" t="s">
        <v>43</v>
      </c>
    </row>
    <row r="198">
      <c r="B198" s="2" t="s">
        <v>48</v>
      </c>
    </row>
    <row r="199">
      <c r="A199" s="2" t="s">
        <v>228</v>
      </c>
      <c r="B199" s="2" t="s">
        <v>43</v>
      </c>
    </row>
    <row r="200">
      <c r="B200" s="8" t="s">
        <v>48</v>
      </c>
    </row>
    <row r="201">
      <c r="B201" s="8" t="s">
        <v>25</v>
      </c>
    </row>
  </sheetData>
  <mergeCells count="3">
    <mergeCell ref="A1:C2"/>
    <mergeCell ref="E1:G2"/>
    <mergeCell ref="I1:K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</cols>
  <sheetData>
    <row r="1">
      <c r="A1" s="18" t="s">
        <v>229</v>
      </c>
      <c r="B1" s="18" t="s">
        <v>230</v>
      </c>
      <c r="C1" s="18" t="s">
        <v>231</v>
      </c>
    </row>
    <row r="2">
      <c r="A2" s="17" t="s">
        <v>147</v>
      </c>
      <c r="B2" s="17">
        <v>-7.56607199999999</v>
      </c>
      <c r="C2" s="17">
        <v>110.87161</v>
      </c>
    </row>
    <row r="3">
      <c r="A3" s="17" t="s">
        <v>148</v>
      </c>
      <c r="B3" s="19" t="s">
        <v>232</v>
      </c>
      <c r="C3" s="19" t="s">
        <v>233</v>
      </c>
    </row>
    <row r="4">
      <c r="A4" s="17" t="s">
        <v>149</v>
      </c>
      <c r="B4" s="19" t="s">
        <v>234</v>
      </c>
      <c r="C4" s="19" t="s">
        <v>235</v>
      </c>
    </row>
    <row r="5">
      <c r="A5" s="17" t="s">
        <v>150</v>
      </c>
      <c r="B5" s="17">
        <v>-7.56649</v>
      </c>
      <c r="C5" s="17">
        <v>110.86883</v>
      </c>
    </row>
    <row r="6">
      <c r="A6" s="17" t="s">
        <v>151</v>
      </c>
      <c r="B6" s="17">
        <v>-7.56545</v>
      </c>
      <c r="C6" s="17">
        <v>110.86489</v>
      </c>
    </row>
    <row r="7">
      <c r="A7" s="17" t="s">
        <v>152</v>
      </c>
      <c r="B7" s="17">
        <v>-7.56387999999999</v>
      </c>
      <c r="C7" s="17">
        <v>110.6196629</v>
      </c>
    </row>
    <row r="8">
      <c r="A8" s="17" t="s">
        <v>153</v>
      </c>
      <c r="B8" s="17">
        <v>-7.56495</v>
      </c>
      <c r="C8" s="17">
        <v>110.85681</v>
      </c>
    </row>
    <row r="9">
      <c r="A9" s="17" t="s">
        <v>154</v>
      </c>
      <c r="B9" s="17">
        <v>-7.5594886</v>
      </c>
      <c r="C9" s="17">
        <v>110.8563295</v>
      </c>
    </row>
    <row r="10">
      <c r="A10" s="17" t="s">
        <v>155</v>
      </c>
      <c r="B10" s="17">
        <v>-7.56365</v>
      </c>
      <c r="C10" s="17">
        <v>110.85256</v>
      </c>
    </row>
    <row r="11">
      <c r="A11" s="17" t="s">
        <v>156</v>
      </c>
      <c r="B11" s="17">
        <v>-7.5614</v>
      </c>
      <c r="C11" s="17">
        <v>110.84922</v>
      </c>
    </row>
    <row r="12">
      <c r="A12" s="17" t="s">
        <v>157</v>
      </c>
      <c r="B12" s="17">
        <v>-7.55856</v>
      </c>
      <c r="C12" s="17">
        <v>110.84812</v>
      </c>
    </row>
    <row r="13">
      <c r="A13" s="17" t="s">
        <v>236</v>
      </c>
      <c r="B13" s="17">
        <v>-7.558082</v>
      </c>
      <c r="C13" s="17">
        <v>110.8464</v>
      </c>
    </row>
    <row r="14">
      <c r="A14" s="17" t="s">
        <v>66</v>
      </c>
      <c r="B14" s="17">
        <v>-7.559202</v>
      </c>
      <c r="C14" s="17">
        <v>110.84381</v>
      </c>
    </row>
    <row r="15">
      <c r="A15" s="17" t="s">
        <v>67</v>
      </c>
      <c r="B15" s="17">
        <v>-7.55870479999999</v>
      </c>
      <c r="C15" s="17">
        <v>110.8418721</v>
      </c>
    </row>
    <row r="16">
      <c r="A16" s="17" t="s">
        <v>69</v>
      </c>
      <c r="B16" s="17">
        <v>-7.5602845</v>
      </c>
      <c r="C16" s="17">
        <v>110.8402108</v>
      </c>
    </row>
    <row r="17">
      <c r="A17" s="17" t="s">
        <v>165</v>
      </c>
      <c r="B17" s="17">
        <v>-7.55971</v>
      </c>
      <c r="C17" s="17">
        <v>110.83843</v>
      </c>
    </row>
    <row r="18">
      <c r="A18" s="17" t="s">
        <v>166</v>
      </c>
      <c r="B18" s="17">
        <v>-7.55770229999999</v>
      </c>
      <c r="C18" s="17">
        <v>110.8476391</v>
      </c>
    </row>
    <row r="19">
      <c r="A19" s="17" t="s">
        <v>167</v>
      </c>
      <c r="B19" s="17">
        <v>-7.56303</v>
      </c>
      <c r="C19" s="17">
        <v>110.83534</v>
      </c>
    </row>
    <row r="20">
      <c r="A20" s="17" t="s">
        <v>168</v>
      </c>
      <c r="B20" s="17">
        <v>-7.5645116</v>
      </c>
      <c r="C20" s="17">
        <v>110.834624</v>
      </c>
    </row>
    <row r="21">
      <c r="A21" s="17" t="s">
        <v>169</v>
      </c>
      <c r="B21" s="17">
        <v>-7.56717999999999</v>
      </c>
      <c r="C21" s="17">
        <v>110.83263</v>
      </c>
    </row>
    <row r="22">
      <c r="A22" s="17" t="s">
        <v>170</v>
      </c>
      <c r="B22" s="17">
        <v>-7.569377</v>
      </c>
      <c r="C22" s="17">
        <v>110.8315563</v>
      </c>
    </row>
    <row r="23">
      <c r="A23" s="17" t="s">
        <v>171</v>
      </c>
      <c r="B23" s="17">
        <v>-7.5694476</v>
      </c>
      <c r="C23" s="17">
        <v>110.829594</v>
      </c>
    </row>
    <row r="24">
      <c r="A24" s="17" t="s">
        <v>172</v>
      </c>
      <c r="B24" s="17">
        <v>-7.57218389999999</v>
      </c>
      <c r="C24" s="17">
        <v>110.8313275</v>
      </c>
    </row>
    <row r="25">
      <c r="A25" s="17" t="s">
        <v>173</v>
      </c>
      <c r="B25" s="20">
        <v>-7.5720324</v>
      </c>
      <c r="C25" s="20">
        <v>110.8280273</v>
      </c>
    </row>
    <row r="26">
      <c r="A26" s="17" t="s">
        <v>174</v>
      </c>
      <c r="B26" s="17">
        <v>-7.57101</v>
      </c>
      <c r="C26" s="17">
        <v>110.82487</v>
      </c>
    </row>
    <row r="27">
      <c r="A27" s="17" t="s">
        <v>175</v>
      </c>
      <c r="B27" s="17">
        <v>-7.6625011</v>
      </c>
      <c r="C27" s="17">
        <v>111.9618081</v>
      </c>
    </row>
    <row r="28">
      <c r="A28" s="17" t="s">
        <v>176</v>
      </c>
      <c r="B28" s="17">
        <v>-7.569951</v>
      </c>
      <c r="C28" s="17">
        <v>110.8200437</v>
      </c>
    </row>
    <row r="29">
      <c r="A29" s="17" t="s">
        <v>177</v>
      </c>
      <c r="B29" s="17">
        <v>-7.56637449999999</v>
      </c>
      <c r="C29" s="17">
        <v>110.8187841</v>
      </c>
    </row>
    <row r="30">
      <c r="A30" s="17" t="s">
        <v>178</v>
      </c>
      <c r="B30" s="17">
        <v>-7.56799</v>
      </c>
      <c r="C30" s="17">
        <v>110.81432</v>
      </c>
    </row>
    <row r="31">
      <c r="A31" s="17" t="s">
        <v>179</v>
      </c>
      <c r="B31" s="17">
        <v>-7.56706</v>
      </c>
      <c r="C31" s="17">
        <v>110.8119</v>
      </c>
    </row>
    <row r="32">
      <c r="A32" s="17" t="s">
        <v>180</v>
      </c>
      <c r="B32" s="17">
        <v>-7.5653557</v>
      </c>
      <c r="C32" s="17">
        <v>110.8059815</v>
      </c>
    </row>
    <row r="33">
      <c r="A33" s="17" t="s">
        <v>181</v>
      </c>
      <c r="B33" s="17">
        <v>-7.56527</v>
      </c>
      <c r="C33" s="17">
        <v>110.80539</v>
      </c>
    </row>
    <row r="34">
      <c r="A34" s="17" t="s">
        <v>237</v>
      </c>
      <c r="B34" s="20">
        <v>-7.5632798</v>
      </c>
      <c r="C34" s="20">
        <v>110.7987311</v>
      </c>
    </row>
    <row r="35">
      <c r="A35" s="17" t="s">
        <v>238</v>
      </c>
      <c r="B35" s="17">
        <v>-7.5605099</v>
      </c>
      <c r="C35" s="17">
        <v>110.7896978</v>
      </c>
    </row>
    <row r="36">
      <c r="A36" s="17" t="s">
        <v>239</v>
      </c>
      <c r="B36" s="17">
        <v>-7.55973</v>
      </c>
      <c r="C36" s="17">
        <v>110.78786</v>
      </c>
    </row>
    <row r="37">
      <c r="A37" s="17" t="s">
        <v>240</v>
      </c>
      <c r="B37" s="17">
        <v>-7.55853589999999</v>
      </c>
      <c r="C37" s="17">
        <v>110.7842387</v>
      </c>
    </row>
    <row r="38">
      <c r="A38" s="17" t="s">
        <v>241</v>
      </c>
      <c r="B38" s="17">
        <v>-7.557598</v>
      </c>
      <c r="C38" s="17">
        <v>110.778868</v>
      </c>
    </row>
    <row r="39">
      <c r="A39" s="17" t="s">
        <v>242</v>
      </c>
      <c r="B39" s="17">
        <v>-7.55768</v>
      </c>
      <c r="C39" s="20">
        <v>110.7761661</v>
      </c>
    </row>
    <row r="40">
      <c r="A40" s="17" t="s">
        <v>243</v>
      </c>
      <c r="B40" s="17">
        <v>-7.559315</v>
      </c>
      <c r="C40" s="17">
        <v>110.7733186</v>
      </c>
    </row>
    <row r="41">
      <c r="A41" s="17" t="s">
        <v>244</v>
      </c>
      <c r="B41" s="17">
        <v>-7.55909999999999</v>
      </c>
      <c r="C41" s="17">
        <v>110.77134</v>
      </c>
    </row>
    <row r="42">
      <c r="A42" s="17" t="s">
        <v>245</v>
      </c>
      <c r="B42" s="20">
        <v>-7.5650102</v>
      </c>
      <c r="C42" s="20">
        <v>110.8068005</v>
      </c>
    </row>
    <row r="43">
      <c r="A43" s="17" t="s">
        <v>246</v>
      </c>
      <c r="B43" s="17">
        <v>-7.562292</v>
      </c>
      <c r="C43" s="17">
        <v>110.8098311</v>
      </c>
    </row>
    <row r="44">
      <c r="A44" s="17" t="s">
        <v>247</v>
      </c>
      <c r="B44" s="17">
        <v>-7.5609797</v>
      </c>
      <c r="C44" s="17">
        <v>110.7654018</v>
      </c>
    </row>
    <row r="45">
      <c r="A45" s="17" t="s">
        <v>248</v>
      </c>
      <c r="B45" s="17">
        <v>-7.56075</v>
      </c>
      <c r="C45" s="17">
        <v>110.762541</v>
      </c>
    </row>
    <row r="46">
      <c r="A46" s="17" t="s">
        <v>249</v>
      </c>
      <c r="B46" s="17">
        <v>-7.5673189</v>
      </c>
      <c r="C46" s="17">
        <v>110.7562271</v>
      </c>
    </row>
    <row r="47">
      <c r="A47" s="17" t="s">
        <v>250</v>
      </c>
      <c r="B47" s="17">
        <v>-7.559467</v>
      </c>
      <c r="C47" s="17">
        <v>110.75629</v>
      </c>
    </row>
    <row r="48">
      <c r="A48" s="17" t="s">
        <v>251</v>
      </c>
      <c r="B48" s="17">
        <v>-7.558006</v>
      </c>
      <c r="C48" s="17">
        <v>110.75366</v>
      </c>
    </row>
    <row r="49">
      <c r="A49" s="17" t="s">
        <v>252</v>
      </c>
      <c r="B49" s="17">
        <v>-7.5564703</v>
      </c>
      <c r="C49" s="17">
        <v>110.7508007</v>
      </c>
    </row>
    <row r="50">
      <c r="A50" s="17" t="s">
        <v>253</v>
      </c>
      <c r="B50" s="17">
        <v>-7.555268</v>
      </c>
      <c r="C50" s="17">
        <v>110.747853</v>
      </c>
    </row>
    <row r="51">
      <c r="A51" s="17" t="s">
        <v>254</v>
      </c>
      <c r="B51" s="20">
        <v>-7.5715139</v>
      </c>
      <c r="C51" s="20">
        <v>110.8288192</v>
      </c>
    </row>
    <row r="52">
      <c r="A52" s="17" t="s">
        <v>255</v>
      </c>
      <c r="B52" s="17">
        <v>-7.553264</v>
      </c>
      <c r="C52" s="17">
        <v>110.7439</v>
      </c>
    </row>
    <row r="53">
      <c r="A53" s="17" t="s">
        <v>256</v>
      </c>
      <c r="B53" s="17">
        <v>-7.54998209999999</v>
      </c>
      <c r="C53" s="17">
        <v>110.7494964</v>
      </c>
    </row>
    <row r="54">
      <c r="A54" s="17" t="s">
        <v>257</v>
      </c>
      <c r="B54" s="17">
        <v>-7.548608</v>
      </c>
      <c r="C54" s="17">
        <v>110.743229</v>
      </c>
    </row>
    <row r="55">
      <c r="A55" s="17" t="s">
        <v>258</v>
      </c>
      <c r="B55" s="20">
        <v>-7.6328274</v>
      </c>
      <c r="C55" s="20">
        <v>110.8274962</v>
      </c>
    </row>
    <row r="56">
      <c r="A56" s="17" t="s">
        <v>182</v>
      </c>
      <c r="B56" s="17">
        <v>-7.546158</v>
      </c>
      <c r="C56" s="17">
        <v>110.742928</v>
      </c>
    </row>
    <row r="57">
      <c r="A57" s="17" t="s">
        <v>183</v>
      </c>
      <c r="B57" s="17">
        <v>-7.543914</v>
      </c>
      <c r="C57" s="17">
        <v>110.73507</v>
      </c>
    </row>
    <row r="58">
      <c r="A58" s="17" t="s">
        <v>184</v>
      </c>
      <c r="B58" s="20">
        <v>-7.5775936</v>
      </c>
      <c r="C58" s="20">
        <v>110.7833098</v>
      </c>
    </row>
    <row r="59">
      <c r="A59" s="17" t="s">
        <v>185</v>
      </c>
      <c r="B59" s="17">
        <v>-7.53789</v>
      </c>
      <c r="C59" s="17">
        <v>110.74588</v>
      </c>
    </row>
    <row r="60">
      <c r="A60" s="17" t="s">
        <v>186</v>
      </c>
      <c r="B60" s="17">
        <v>-7.534611</v>
      </c>
      <c r="C60" s="17">
        <v>110.746722</v>
      </c>
    </row>
    <row r="61">
      <c r="A61" s="17" t="s">
        <v>187</v>
      </c>
      <c r="B61" s="17">
        <v>-7.530962</v>
      </c>
      <c r="C61" s="17">
        <v>110.747637</v>
      </c>
    </row>
    <row r="62">
      <c r="A62" s="17" t="s">
        <v>259</v>
      </c>
      <c r="B62" s="17">
        <v>-7.527551</v>
      </c>
      <c r="C62" s="17">
        <v>110.74815</v>
      </c>
    </row>
    <row r="63">
      <c r="A63" s="17" t="s">
        <v>260</v>
      </c>
      <c r="B63" s="17">
        <v>-7.55208</v>
      </c>
      <c r="C63" s="17">
        <v>110.74633</v>
      </c>
    </row>
    <row r="64">
      <c r="A64" s="17" t="s">
        <v>261</v>
      </c>
      <c r="B64" s="17">
        <v>-7.512383</v>
      </c>
      <c r="C64" s="17">
        <v>110.74553</v>
      </c>
    </row>
    <row r="65">
      <c r="A65" s="17" t="s">
        <v>262</v>
      </c>
      <c r="B65" s="20">
        <v>-7.5054722</v>
      </c>
      <c r="C65" s="20">
        <v>110.7477598</v>
      </c>
    </row>
    <row r="66">
      <c r="A66" s="17" t="s">
        <v>188</v>
      </c>
      <c r="B66" s="17">
        <v>-7.55857</v>
      </c>
      <c r="C66" s="17">
        <v>110.83563</v>
      </c>
    </row>
    <row r="67">
      <c r="A67" s="17" t="s">
        <v>189</v>
      </c>
      <c r="B67" s="17">
        <v>-7.55907</v>
      </c>
      <c r="C67" s="17">
        <v>110.83246</v>
      </c>
    </row>
    <row r="68">
      <c r="A68" s="17" t="s">
        <v>190</v>
      </c>
      <c r="B68" s="17">
        <v>-7.5588525</v>
      </c>
      <c r="C68" s="17">
        <v>110.8302689</v>
      </c>
    </row>
    <row r="69">
      <c r="A69" s="17" t="s">
        <v>263</v>
      </c>
      <c r="B69" s="17">
        <v>-7.5588255</v>
      </c>
      <c r="C69" s="17">
        <v>110.8296634</v>
      </c>
    </row>
    <row r="70">
      <c r="A70" s="17" t="s">
        <v>264</v>
      </c>
      <c r="B70" s="17">
        <v>-7.55833</v>
      </c>
      <c r="C70" s="17">
        <v>110.82699</v>
      </c>
    </row>
    <row r="71">
      <c r="A71" s="17" t="s">
        <v>265</v>
      </c>
      <c r="B71" s="17">
        <v>-7.55744219999999</v>
      </c>
      <c r="C71" s="17">
        <v>110.8234039</v>
      </c>
    </row>
    <row r="72">
      <c r="A72" s="17" t="s">
        <v>266</v>
      </c>
      <c r="B72" s="17">
        <v>-7.5570131</v>
      </c>
      <c r="C72" s="17">
        <v>110.8213794</v>
      </c>
    </row>
    <row r="73">
      <c r="A73" s="17" t="s">
        <v>267</v>
      </c>
      <c r="B73" s="17">
        <v>-7.5593789</v>
      </c>
      <c r="C73" s="17">
        <v>110.8180391</v>
      </c>
    </row>
    <row r="74">
      <c r="A74" s="17" t="s">
        <v>268</v>
      </c>
      <c r="B74" s="17">
        <v>-7.56115089999999</v>
      </c>
      <c r="C74" s="17">
        <v>110.8196281</v>
      </c>
    </row>
    <row r="75">
      <c r="A75" s="17" t="s">
        <v>269</v>
      </c>
      <c r="B75" s="17">
        <v>-7.5638586</v>
      </c>
      <c r="C75" s="17">
        <v>110.8192154</v>
      </c>
    </row>
    <row r="76">
      <c r="A76" s="17" t="s">
        <v>270</v>
      </c>
      <c r="B76" s="17">
        <v>-7.56559949999999</v>
      </c>
      <c r="C76" s="17">
        <v>110.8165735</v>
      </c>
    </row>
    <row r="77">
      <c r="A77" s="17" t="s">
        <v>271</v>
      </c>
      <c r="B77" s="17">
        <v>-7.5634522</v>
      </c>
      <c r="C77" s="17">
        <v>110.8144971</v>
      </c>
    </row>
    <row r="78">
      <c r="A78" s="17" t="s">
        <v>272</v>
      </c>
      <c r="B78" s="17">
        <v>-7.56194</v>
      </c>
      <c r="C78" s="17">
        <v>110.81174</v>
      </c>
    </row>
    <row r="79">
      <c r="A79" s="17" t="s">
        <v>273</v>
      </c>
      <c r="B79" s="17">
        <v>-7.5624118</v>
      </c>
      <c r="C79" s="17">
        <v>110.8100122</v>
      </c>
    </row>
    <row r="80">
      <c r="A80" s="17" t="s">
        <v>191</v>
      </c>
      <c r="B80" s="17">
        <v>-7.5621785</v>
      </c>
      <c r="C80" s="17">
        <v>110.8074437</v>
      </c>
    </row>
    <row r="81">
      <c r="A81" s="17" t="s">
        <v>192</v>
      </c>
      <c r="B81" s="17">
        <v>-7.56372999999999</v>
      </c>
      <c r="C81" s="17">
        <v>110.80648</v>
      </c>
    </row>
    <row r="82">
      <c r="A82" s="17"/>
      <c r="B82" s="17"/>
      <c r="C82" s="17"/>
    </row>
    <row r="83">
      <c r="A83" s="17" t="s">
        <v>274</v>
      </c>
      <c r="B83" s="17">
        <v>-7.56310469999999</v>
      </c>
      <c r="C83" s="17">
        <v>110.8016497</v>
      </c>
    </row>
    <row r="84">
      <c r="A84" s="17" t="s">
        <v>275</v>
      </c>
      <c r="B84" s="17">
        <v>-7.56388199999999</v>
      </c>
      <c r="C84" s="17">
        <v>110.7991087</v>
      </c>
    </row>
    <row r="85">
      <c r="A85" s="17" t="s">
        <v>193</v>
      </c>
      <c r="B85" s="17">
        <v>-7.5695177</v>
      </c>
      <c r="C85" s="17">
        <v>110.8250266</v>
      </c>
    </row>
    <row r="86">
      <c r="A86" s="17" t="s">
        <v>194</v>
      </c>
      <c r="B86" s="17">
        <v>-7.5695802</v>
      </c>
      <c r="C86" s="17">
        <v>110.7971372</v>
      </c>
    </row>
    <row r="87">
      <c r="A87" s="17" t="s">
        <v>195</v>
      </c>
      <c r="B87" s="17">
        <v>-7.5690719</v>
      </c>
      <c r="C87" s="17">
        <v>110.7945611</v>
      </c>
    </row>
    <row r="88">
      <c r="A88" s="17" t="s">
        <v>276</v>
      </c>
      <c r="B88" s="17">
        <v>-7.56729</v>
      </c>
      <c r="C88" s="17">
        <v>110.79235</v>
      </c>
    </row>
    <row r="89">
      <c r="A89" s="17" t="s">
        <v>277</v>
      </c>
      <c r="B89" s="17">
        <v>-7.56296</v>
      </c>
      <c r="C89" s="17">
        <v>110.79462</v>
      </c>
    </row>
    <row r="90">
      <c r="A90" s="17" t="s">
        <v>278</v>
      </c>
      <c r="B90" s="17">
        <v>-7.5616918</v>
      </c>
      <c r="C90" s="17">
        <v>110.7965074</v>
      </c>
    </row>
    <row r="91">
      <c r="A91" s="21" t="s">
        <v>279</v>
      </c>
      <c r="B91" s="21">
        <v>-7.55037169999999</v>
      </c>
      <c r="C91" s="21">
        <v>110.7367071</v>
      </c>
    </row>
    <row r="92">
      <c r="A92" s="21" t="s">
        <v>280</v>
      </c>
      <c r="B92" s="21">
        <v>-7.55169</v>
      </c>
      <c r="C92" s="21">
        <v>110.73637</v>
      </c>
    </row>
    <row r="93">
      <c r="A93" s="21" t="s">
        <v>281</v>
      </c>
      <c r="B93" s="22">
        <v>-7.551957</v>
      </c>
      <c r="C93" s="22">
        <v>110.7404109</v>
      </c>
    </row>
    <row r="94">
      <c r="A94" s="21" t="s">
        <v>282</v>
      </c>
      <c r="B94" s="21">
        <v>-7.55491</v>
      </c>
      <c r="C94" s="21">
        <v>110.74142</v>
      </c>
    </row>
    <row r="95">
      <c r="A95" s="21" t="s">
        <v>283</v>
      </c>
      <c r="B95" s="21">
        <v>-7.55676</v>
      </c>
      <c r="C95" s="21">
        <v>110.74478</v>
      </c>
    </row>
    <row r="96">
      <c r="A96" s="21" t="s">
        <v>284</v>
      </c>
      <c r="B96" s="21">
        <v>-7.55885</v>
      </c>
      <c r="C96" s="21">
        <v>110.74826</v>
      </c>
    </row>
    <row r="97">
      <c r="A97" s="21" t="s">
        <v>285</v>
      </c>
      <c r="B97" s="21">
        <v>-7.56105</v>
      </c>
      <c r="C97" s="21">
        <v>110.75486</v>
      </c>
    </row>
    <row r="98">
      <c r="A98" s="21" t="s">
        <v>286</v>
      </c>
      <c r="B98" s="21">
        <v>-7.56208</v>
      </c>
      <c r="C98" s="21">
        <v>110.75799</v>
      </c>
    </row>
    <row r="99">
      <c r="A99" s="21" t="s">
        <v>287</v>
      </c>
      <c r="B99" s="21">
        <v>-7.56331</v>
      </c>
      <c r="C99" s="21">
        <v>110.76157</v>
      </c>
    </row>
    <row r="100">
      <c r="A100" s="21" t="s">
        <v>288</v>
      </c>
      <c r="B100" s="21">
        <v>-7.56409</v>
      </c>
      <c r="C100" s="21">
        <v>110.76441</v>
      </c>
    </row>
    <row r="101">
      <c r="A101" s="17" t="s">
        <v>289</v>
      </c>
      <c r="B101" s="17">
        <v>-7.56503999999999</v>
      </c>
      <c r="C101" s="17">
        <v>110.76733</v>
      </c>
    </row>
    <row r="102">
      <c r="A102" s="17" t="s">
        <v>290</v>
      </c>
      <c r="B102" s="17">
        <v>-7.56593999999999</v>
      </c>
      <c r="C102" s="17">
        <v>110.7718</v>
      </c>
    </row>
    <row r="103">
      <c r="A103" s="17" t="s">
        <v>291</v>
      </c>
      <c r="B103" s="17">
        <v>-7.5649801</v>
      </c>
      <c r="C103" s="17">
        <v>110.7735773</v>
      </c>
    </row>
    <row r="104">
      <c r="A104" s="17" t="s">
        <v>292</v>
      </c>
      <c r="B104" s="17">
        <v>-7.56279839999999</v>
      </c>
      <c r="C104" s="17">
        <v>110.774827</v>
      </c>
    </row>
    <row r="105">
      <c r="A105" s="17" t="s">
        <v>293</v>
      </c>
      <c r="B105" s="20">
        <v>-7.5676663</v>
      </c>
      <c r="C105" s="20">
        <v>110.7838034</v>
      </c>
    </row>
    <row r="106">
      <c r="A106" s="17" t="s">
        <v>196</v>
      </c>
      <c r="B106" s="20">
        <v>-7.5683537</v>
      </c>
      <c r="C106" s="20">
        <v>110.7880699</v>
      </c>
    </row>
    <row r="107">
      <c r="A107" s="17" t="s">
        <v>197</v>
      </c>
      <c r="B107" s="20">
        <v>-7.5686656</v>
      </c>
      <c r="C107" s="20">
        <v>110.7899912</v>
      </c>
    </row>
    <row r="108">
      <c r="A108" s="17" t="s">
        <v>294</v>
      </c>
      <c r="B108" s="20">
        <v>-7.5707084</v>
      </c>
      <c r="C108" s="20">
        <v>110.8001691</v>
      </c>
    </row>
    <row r="109">
      <c r="A109" s="17" t="s">
        <v>295</v>
      </c>
      <c r="B109" s="20">
        <v>-7.5712661</v>
      </c>
      <c r="C109" s="20">
        <v>110.8035283</v>
      </c>
    </row>
    <row r="110">
      <c r="A110" s="17" t="s">
        <v>296</v>
      </c>
      <c r="B110" s="20">
        <v>-7.5713106</v>
      </c>
      <c r="C110" s="20">
        <v>110.8050432</v>
      </c>
    </row>
    <row r="111">
      <c r="A111" s="17" t="s">
        <v>297</v>
      </c>
      <c r="B111" s="20">
        <v>-7.6385145</v>
      </c>
      <c r="C111" s="20">
        <v>111.3590118</v>
      </c>
    </row>
    <row r="112">
      <c r="A112" s="17" t="s">
        <v>298</v>
      </c>
      <c r="B112" s="20">
        <v>-7.5699639</v>
      </c>
      <c r="C112" s="20">
        <v>110.7968624</v>
      </c>
    </row>
    <row r="113">
      <c r="A113" s="17" t="s">
        <v>299</v>
      </c>
      <c r="B113" s="17">
        <v>-7.573509</v>
      </c>
      <c r="C113" s="17">
        <v>110.8095022</v>
      </c>
    </row>
    <row r="114">
      <c r="A114" s="17" t="s">
        <v>300</v>
      </c>
      <c r="B114" s="17">
        <v>-7.57514349999999</v>
      </c>
      <c r="C114" s="17">
        <v>110.8097735</v>
      </c>
    </row>
    <row r="115">
      <c r="A115" s="17" t="s">
        <v>301</v>
      </c>
      <c r="B115" s="20">
        <v>-7.5778589</v>
      </c>
      <c r="C115" s="20">
        <v>110.808262</v>
      </c>
    </row>
    <row r="116">
      <c r="A116" s="17" t="s">
        <v>302</v>
      </c>
      <c r="B116" s="20">
        <v>-7.5715106</v>
      </c>
      <c r="C116" s="20">
        <v>110.8282691</v>
      </c>
    </row>
    <row r="117">
      <c r="A117" s="17" t="s">
        <v>198</v>
      </c>
      <c r="B117" s="17">
        <v>-7.5804</v>
      </c>
      <c r="C117" s="17">
        <v>110.81513</v>
      </c>
    </row>
    <row r="118">
      <c r="A118" s="17" t="s">
        <v>199</v>
      </c>
      <c r="B118" s="17">
        <v>-7.58111</v>
      </c>
      <c r="C118" s="17">
        <v>110.81723</v>
      </c>
    </row>
    <row r="119">
      <c r="A119" s="17" t="s">
        <v>303</v>
      </c>
      <c r="B119" s="17">
        <v>-7.5817</v>
      </c>
      <c r="C119" s="17">
        <v>110.81975</v>
      </c>
    </row>
    <row r="120">
      <c r="A120" s="17" t="s">
        <v>201</v>
      </c>
      <c r="B120" s="17">
        <v>-7.5525998</v>
      </c>
      <c r="C120" s="20">
        <v>110.8218411</v>
      </c>
    </row>
    <row r="121">
      <c r="A121" s="17" t="s">
        <v>202</v>
      </c>
      <c r="B121" s="17">
        <v>-7.57392</v>
      </c>
      <c r="C121" s="17">
        <v>110.88229</v>
      </c>
    </row>
    <row r="122">
      <c r="A122" s="17" t="s">
        <v>203</v>
      </c>
      <c r="B122" s="17">
        <v>-7.57291</v>
      </c>
      <c r="C122" s="17">
        <v>110.82354</v>
      </c>
    </row>
    <row r="123">
      <c r="A123" s="17" t="s">
        <v>204</v>
      </c>
      <c r="B123" s="17">
        <v>-7.5568</v>
      </c>
      <c r="C123" s="17">
        <v>110.84942</v>
      </c>
    </row>
    <row r="124">
      <c r="A124" s="17" t="s">
        <v>205</v>
      </c>
      <c r="B124" s="17">
        <v>-7.5560692</v>
      </c>
      <c r="C124" s="17">
        <v>110.8538665</v>
      </c>
    </row>
    <row r="125">
      <c r="A125" s="17" t="s">
        <v>304</v>
      </c>
      <c r="B125" s="17">
        <v>-7.5550907</v>
      </c>
      <c r="C125" s="17">
        <v>110.8551854</v>
      </c>
    </row>
    <row r="126">
      <c r="A126" s="17" t="s">
        <v>207</v>
      </c>
      <c r="B126" s="17">
        <v>-7.55431</v>
      </c>
      <c r="C126" s="17">
        <v>110.85663</v>
      </c>
    </row>
    <row r="127">
      <c r="A127" s="17" t="s">
        <v>208</v>
      </c>
      <c r="B127" s="17">
        <v>-7.55686219999999</v>
      </c>
      <c r="C127" s="17">
        <v>110.860724</v>
      </c>
    </row>
    <row r="128">
      <c r="A128" s="17" t="s">
        <v>305</v>
      </c>
      <c r="B128" s="17">
        <v>-7.53224349999999</v>
      </c>
      <c r="C128" s="17">
        <v>110.7473305</v>
      </c>
    </row>
    <row r="129">
      <c r="A129" s="17" t="s">
        <v>306</v>
      </c>
      <c r="B129" s="17">
        <v>-7.5332856</v>
      </c>
      <c r="C129" s="17">
        <v>110.7521496</v>
      </c>
    </row>
    <row r="130">
      <c r="A130" s="17" t="s">
        <v>307</v>
      </c>
      <c r="B130" s="17">
        <v>-7.53517419999999</v>
      </c>
      <c r="C130" s="17">
        <v>110.7549059</v>
      </c>
    </row>
    <row r="131">
      <c r="A131" s="17" t="s">
        <v>308</v>
      </c>
      <c r="B131" s="20">
        <v>-7.5373049</v>
      </c>
      <c r="C131" s="20">
        <v>110.7578896</v>
      </c>
    </row>
    <row r="132">
      <c r="A132" s="17" t="s">
        <v>309</v>
      </c>
      <c r="B132" s="17">
        <v>-7.5379275</v>
      </c>
      <c r="C132" s="17">
        <v>110.7599966</v>
      </c>
    </row>
    <row r="133">
      <c r="A133" s="17" t="s">
        <v>310</v>
      </c>
      <c r="B133" s="17">
        <v>-7.53961</v>
      </c>
      <c r="C133" s="17">
        <v>110.76249</v>
      </c>
    </row>
    <row r="134">
      <c r="A134" s="17" t="s">
        <v>311</v>
      </c>
      <c r="B134" s="17">
        <v>-7.54152599999999</v>
      </c>
      <c r="C134" s="17">
        <v>110.766359</v>
      </c>
    </row>
    <row r="135">
      <c r="A135" s="17" t="s">
        <v>312</v>
      </c>
      <c r="B135" s="20">
        <v>-7.5429682</v>
      </c>
      <c r="C135" s="17">
        <v>110.76914</v>
      </c>
    </row>
    <row r="136">
      <c r="A136" s="17" t="s">
        <v>313</v>
      </c>
      <c r="B136" s="17">
        <v>-7.54389</v>
      </c>
      <c r="C136" s="17">
        <v>110.7715</v>
      </c>
    </row>
    <row r="137">
      <c r="A137" s="17" t="s">
        <v>314</v>
      </c>
      <c r="B137" s="17">
        <v>-7.5449034</v>
      </c>
      <c r="C137" s="17">
        <v>110.7746072</v>
      </c>
    </row>
    <row r="138">
      <c r="A138" s="17" t="s">
        <v>315</v>
      </c>
      <c r="B138" s="17">
        <v>-7.54709</v>
      </c>
      <c r="C138" s="17">
        <v>110.7795</v>
      </c>
    </row>
    <row r="139">
      <c r="A139" s="17" t="s">
        <v>316</v>
      </c>
      <c r="B139" s="17">
        <v>-7.54844</v>
      </c>
      <c r="C139" s="17">
        <v>110.78341</v>
      </c>
    </row>
    <row r="140">
      <c r="A140" s="17" t="s">
        <v>317</v>
      </c>
      <c r="B140" s="17">
        <v>-7.54933</v>
      </c>
      <c r="C140" s="17">
        <v>110.78602</v>
      </c>
    </row>
    <row r="141">
      <c r="A141" s="17" t="s">
        <v>318</v>
      </c>
      <c r="B141" s="17">
        <v>-7.55074</v>
      </c>
      <c r="C141" s="17">
        <v>110.7903</v>
      </c>
    </row>
    <row r="142">
      <c r="A142" s="17" t="s">
        <v>319</v>
      </c>
      <c r="B142" s="17">
        <v>-7.5517</v>
      </c>
      <c r="C142" s="17">
        <v>110.79324</v>
      </c>
    </row>
    <row r="143">
      <c r="A143" s="17" t="s">
        <v>320</v>
      </c>
      <c r="B143" s="17">
        <v>-7.55339759999999</v>
      </c>
      <c r="C143" s="17">
        <v>110.7957826</v>
      </c>
    </row>
    <row r="144">
      <c r="A144" s="17" t="s">
        <v>321</v>
      </c>
      <c r="B144" s="17">
        <v>-7.55325569999999</v>
      </c>
      <c r="C144" s="17">
        <v>110.7983771</v>
      </c>
    </row>
    <row r="145">
      <c r="A145" s="17" t="s">
        <v>322</v>
      </c>
      <c r="B145" s="17">
        <v>-7.55548</v>
      </c>
      <c r="C145" s="20">
        <v>110.4714619</v>
      </c>
    </row>
    <row r="146">
      <c r="A146" s="17" t="s">
        <v>210</v>
      </c>
      <c r="B146" s="17">
        <v>-7.5555789</v>
      </c>
      <c r="C146" s="17">
        <v>110.8065334</v>
      </c>
    </row>
    <row r="147">
      <c r="A147" s="17" t="s">
        <v>323</v>
      </c>
      <c r="B147" s="17">
        <v>-7.7832971</v>
      </c>
      <c r="C147" s="17">
        <v>110.3935667</v>
      </c>
    </row>
    <row r="148">
      <c r="A148" s="17" t="s">
        <v>324</v>
      </c>
      <c r="B148" s="17">
        <v>-7.5562077</v>
      </c>
      <c r="C148" s="17">
        <v>110.8046283</v>
      </c>
    </row>
    <row r="149">
      <c r="A149" s="17" t="s">
        <v>325</v>
      </c>
      <c r="B149" s="17">
        <v>-7.5526844</v>
      </c>
      <c r="C149" s="17">
        <v>110.8142742</v>
      </c>
    </row>
    <row r="150">
      <c r="A150" s="17" t="s">
        <v>326</v>
      </c>
      <c r="B150" s="17">
        <v>-7.5417649</v>
      </c>
      <c r="C150" s="17">
        <v>110.8206344</v>
      </c>
    </row>
    <row r="151">
      <c r="A151" s="23" t="s">
        <v>211</v>
      </c>
      <c r="B151" s="24">
        <v>-7.55188679999999</v>
      </c>
      <c r="C151" s="24">
        <v>110.8195409</v>
      </c>
    </row>
    <row r="152">
      <c r="A152" s="15" t="s">
        <v>327</v>
      </c>
      <c r="B152" s="24">
        <v>-7.55329</v>
      </c>
      <c r="C152" s="24">
        <v>110.82348</v>
      </c>
    </row>
    <row r="153">
      <c r="A153" s="15" t="s">
        <v>328</v>
      </c>
      <c r="B153" s="24">
        <v>-7.55413999999999</v>
      </c>
      <c r="C153" s="24">
        <v>110.82749</v>
      </c>
    </row>
    <row r="154">
      <c r="A154" s="15" t="s">
        <v>329</v>
      </c>
      <c r="B154" s="24">
        <v>-7.70115469999999</v>
      </c>
      <c r="C154" s="24">
        <v>110.4472796</v>
      </c>
    </row>
    <row r="155">
      <c r="A155" s="15" t="s">
        <v>330</v>
      </c>
      <c r="B155" s="25">
        <v>-7.55463</v>
      </c>
      <c r="C155" s="25">
        <v>110.83393</v>
      </c>
    </row>
    <row r="156">
      <c r="A156" s="15" t="s">
        <v>331</v>
      </c>
      <c r="B156" s="24">
        <v>-7.5561722</v>
      </c>
      <c r="C156" s="24">
        <v>110.8385638</v>
      </c>
    </row>
    <row r="157">
      <c r="A157" s="15" t="s">
        <v>332</v>
      </c>
      <c r="B157" s="24">
        <v>-7.5560692</v>
      </c>
      <c r="C157" s="24">
        <v>110.8538665</v>
      </c>
    </row>
    <row r="158">
      <c r="A158" s="15" t="s">
        <v>206</v>
      </c>
      <c r="B158" s="24">
        <v>-7.5550907</v>
      </c>
      <c r="C158" s="24">
        <v>110.8551854</v>
      </c>
    </row>
    <row r="159">
      <c r="A159" s="15" t="s">
        <v>333</v>
      </c>
      <c r="B159" s="24">
        <v>-7.55431</v>
      </c>
      <c r="C159" s="24">
        <v>110.85663</v>
      </c>
    </row>
    <row r="160">
      <c r="A160" s="15" t="s">
        <v>334</v>
      </c>
      <c r="B160" s="24">
        <v>-7.55686219999999</v>
      </c>
      <c r="C160" s="24">
        <v>110.860724</v>
      </c>
    </row>
    <row r="161">
      <c r="A161" s="26" t="s">
        <v>335</v>
      </c>
      <c r="B161" s="24">
        <v>-7.56008</v>
      </c>
      <c r="C161" s="24">
        <v>110.86052</v>
      </c>
    </row>
    <row r="162">
      <c r="A162" s="27" t="s">
        <v>336</v>
      </c>
      <c r="B162" s="24">
        <v>-7.5623</v>
      </c>
      <c r="C162" s="24">
        <v>110.85907</v>
      </c>
    </row>
    <row r="163">
      <c r="A163" s="15" t="s">
        <v>337</v>
      </c>
      <c r="B163" s="25">
        <v>-7.56521899999999</v>
      </c>
      <c r="C163" s="24">
        <v>110.858743</v>
      </c>
    </row>
    <row r="164">
      <c r="A164" s="28" t="s">
        <v>26</v>
      </c>
      <c r="B164" s="24">
        <v>-7.56562</v>
      </c>
      <c r="C164" s="24">
        <v>110.86892</v>
      </c>
    </row>
    <row r="165">
      <c r="A165" s="17" t="s">
        <v>338</v>
      </c>
      <c r="B165" s="17">
        <v>-7.52989</v>
      </c>
      <c r="C165" s="17">
        <v>110.75125</v>
      </c>
    </row>
    <row r="166">
      <c r="A166" s="17" t="s">
        <v>339</v>
      </c>
      <c r="B166" s="17">
        <v>-7.53033</v>
      </c>
      <c r="C166" s="17">
        <v>119.75564</v>
      </c>
    </row>
    <row r="167">
      <c r="A167" s="17" t="s">
        <v>340</v>
      </c>
      <c r="B167" s="17">
        <v>-7.53108999999999</v>
      </c>
      <c r="C167" s="17">
        <v>110.75853</v>
      </c>
    </row>
    <row r="168">
      <c r="A168" s="17" t="s">
        <v>341</v>
      </c>
      <c r="B168" s="17">
        <v>-7.53007659999999</v>
      </c>
      <c r="C168" s="17">
        <v>110.7618114</v>
      </c>
    </row>
    <row r="169">
      <c r="A169" s="17" t="s">
        <v>342</v>
      </c>
      <c r="B169" s="17">
        <v>-7.53252</v>
      </c>
      <c r="C169" s="17">
        <v>110.76544</v>
      </c>
    </row>
    <row r="170">
      <c r="A170" s="17" t="s">
        <v>343</v>
      </c>
      <c r="B170" s="17">
        <v>-7.53270999999999</v>
      </c>
      <c r="C170" s="17">
        <v>110.76873</v>
      </c>
    </row>
    <row r="171">
      <c r="A171" s="17" t="s">
        <v>344</v>
      </c>
      <c r="B171" s="17">
        <v>-7.53353</v>
      </c>
      <c r="C171" s="17">
        <v>110.7718</v>
      </c>
    </row>
    <row r="172">
      <c r="A172" s="17" t="s">
        <v>345</v>
      </c>
      <c r="B172" s="17">
        <v>-7.5340888</v>
      </c>
      <c r="C172" s="17">
        <v>110.7760432</v>
      </c>
    </row>
    <row r="173">
      <c r="A173" s="17" t="s">
        <v>346</v>
      </c>
      <c r="B173" s="17">
        <v>-7.533719</v>
      </c>
      <c r="C173" s="17">
        <v>110.7180361</v>
      </c>
    </row>
    <row r="174">
      <c r="A174" s="17" t="s">
        <v>347</v>
      </c>
      <c r="B174" s="17">
        <v>-7.53498999999999</v>
      </c>
      <c r="C174" s="17">
        <v>110.7941977</v>
      </c>
    </row>
    <row r="175">
      <c r="A175" s="17" t="s">
        <v>348</v>
      </c>
      <c r="B175" s="17">
        <v>-7.53735</v>
      </c>
      <c r="C175" s="17">
        <v>110.80302</v>
      </c>
    </row>
    <row r="176">
      <c r="A176" s="17" t="s">
        <v>349</v>
      </c>
      <c r="B176" s="17">
        <v>-7.54045999999999</v>
      </c>
      <c r="C176" s="17">
        <v>110.80699</v>
      </c>
    </row>
    <row r="177">
      <c r="A177" s="17" t="s">
        <v>350</v>
      </c>
      <c r="B177" s="17">
        <v>-7.5446869</v>
      </c>
      <c r="C177" s="17">
        <v>110.806696</v>
      </c>
    </row>
    <row r="178">
      <c r="A178" s="17" t="s">
        <v>351</v>
      </c>
      <c r="B178" s="17">
        <v>-7.55017999999999</v>
      </c>
      <c r="C178" s="17">
        <v>110.80301</v>
      </c>
    </row>
    <row r="179">
      <c r="A179" s="17" t="s">
        <v>352</v>
      </c>
      <c r="B179" s="17">
        <v>-7.5533</v>
      </c>
      <c r="C179" s="17">
        <v>110.80032</v>
      </c>
    </row>
    <row r="180">
      <c r="A180" s="17" t="s">
        <v>353</v>
      </c>
      <c r="B180" s="20">
        <v>-7.5686609</v>
      </c>
      <c r="C180" s="20">
        <v>110.8166249</v>
      </c>
    </row>
    <row r="181">
      <c r="A181" s="17" t="s">
        <v>354</v>
      </c>
      <c r="B181" s="17">
        <v>-7.58217</v>
      </c>
      <c r="C181" s="17">
        <v>110.82094</v>
      </c>
    </row>
    <row r="182">
      <c r="A182" s="17" t="s">
        <v>213</v>
      </c>
      <c r="B182" s="17">
        <v>-7.583363</v>
      </c>
      <c r="C182" s="17">
        <v>110.82487</v>
      </c>
    </row>
    <row r="183">
      <c r="A183" s="17" t="s">
        <v>214</v>
      </c>
      <c r="B183" s="17">
        <v>-7.58356249999999</v>
      </c>
      <c r="C183" s="17">
        <v>110.8263556</v>
      </c>
    </row>
    <row r="184">
      <c r="A184" s="17" t="s">
        <v>215</v>
      </c>
      <c r="B184" s="17">
        <v>-7.58481</v>
      </c>
      <c r="C184" s="17">
        <v>110.83011</v>
      </c>
    </row>
    <row r="185">
      <c r="A185" s="17" t="s">
        <v>216</v>
      </c>
      <c r="B185" s="17">
        <v>-7.5862</v>
      </c>
      <c r="C185" s="17">
        <v>110.83378</v>
      </c>
    </row>
    <row r="186">
      <c r="A186" s="17" t="s">
        <v>355</v>
      </c>
      <c r="B186" s="20">
        <v>-7.5873449</v>
      </c>
      <c r="C186" s="20">
        <v>110.8363838</v>
      </c>
    </row>
    <row r="187">
      <c r="A187" s="17" t="s">
        <v>217</v>
      </c>
      <c r="B187" s="17">
        <v>-7.58941</v>
      </c>
      <c r="C187" s="17">
        <v>110.83498</v>
      </c>
    </row>
    <row r="188">
      <c r="A188" s="17" t="s">
        <v>356</v>
      </c>
      <c r="B188" s="17">
        <v>-7.5895363</v>
      </c>
      <c r="C188" s="17">
        <v>110.8406702</v>
      </c>
    </row>
    <row r="189">
      <c r="A189" s="17" t="s">
        <v>357</v>
      </c>
      <c r="B189" s="17">
        <v>-7.59259</v>
      </c>
      <c r="C189" s="17">
        <v>110.84584</v>
      </c>
    </row>
    <row r="190">
      <c r="A190" s="17" t="s">
        <v>358</v>
      </c>
      <c r="B190" s="17">
        <v>-7.59415</v>
      </c>
      <c r="C190" s="17">
        <v>110.84859</v>
      </c>
    </row>
    <row r="191">
      <c r="A191" s="17" t="s">
        <v>359</v>
      </c>
      <c r="B191" s="17">
        <v>-7.5962519</v>
      </c>
      <c r="C191" s="17">
        <v>110.8506027</v>
      </c>
    </row>
    <row r="192">
      <c r="A192" s="17" t="s">
        <v>360</v>
      </c>
      <c r="B192" s="17">
        <v>-7.597319</v>
      </c>
      <c r="C192" s="17">
        <v>110.8539404</v>
      </c>
    </row>
    <row r="193">
      <c r="A193" s="17" t="s">
        <v>361</v>
      </c>
      <c r="B193" s="17">
        <v>-7.5986</v>
      </c>
      <c r="C193" s="17">
        <v>110.85674</v>
      </c>
    </row>
    <row r="194">
      <c r="A194" s="17" t="s">
        <v>362</v>
      </c>
      <c r="B194" s="20">
        <v>-7.6004883</v>
      </c>
      <c r="C194" s="17">
        <v>110.86003</v>
      </c>
    </row>
    <row r="195">
      <c r="A195" s="17" t="s">
        <v>363</v>
      </c>
      <c r="B195" s="17">
        <v>-7.6046944</v>
      </c>
      <c r="C195" s="17">
        <v>110.8582722</v>
      </c>
    </row>
    <row r="196">
      <c r="A196" s="17" t="s">
        <v>364</v>
      </c>
      <c r="B196" s="17">
        <v>-7.60320379999999</v>
      </c>
      <c r="C196" s="17">
        <v>110.8647059</v>
      </c>
    </row>
    <row r="197">
      <c r="A197" s="17" t="s">
        <v>365</v>
      </c>
      <c r="B197" s="17">
        <v>-7.6029344</v>
      </c>
      <c r="C197" s="17">
        <v>110.8690774</v>
      </c>
    </row>
    <row r="198">
      <c r="A198" s="17" t="s">
        <v>366</v>
      </c>
      <c r="B198" s="17">
        <v>-7.60688609999999</v>
      </c>
      <c r="C198" s="17">
        <v>110.8703243</v>
      </c>
    </row>
    <row r="199">
      <c r="A199" s="17" t="s">
        <v>367</v>
      </c>
      <c r="B199" s="17">
        <v>-7.60962</v>
      </c>
      <c r="C199" s="17">
        <v>110.87394</v>
      </c>
    </row>
    <row r="200">
      <c r="A200" s="17" t="s">
        <v>368</v>
      </c>
      <c r="B200" s="17">
        <v>-7.6232169</v>
      </c>
      <c r="C200" s="17">
        <v>110.8792447</v>
      </c>
    </row>
    <row r="201">
      <c r="A201" s="17" t="s">
        <v>369</v>
      </c>
      <c r="B201" s="17">
        <v>-7.61143999999999</v>
      </c>
      <c r="C201" s="17">
        <v>110.88542</v>
      </c>
    </row>
    <row r="202">
      <c r="A202" s="17" t="s">
        <v>370</v>
      </c>
      <c r="B202" s="17">
        <v>-7.6128501</v>
      </c>
      <c r="C202" s="17">
        <v>110.8891529</v>
      </c>
    </row>
    <row r="203">
      <c r="A203" s="17" t="s">
        <v>371</v>
      </c>
      <c r="B203" s="17">
        <v>-7.61365999999999</v>
      </c>
      <c r="C203" s="17">
        <v>110.89172</v>
      </c>
    </row>
    <row r="204">
      <c r="A204" s="17" t="s">
        <v>372</v>
      </c>
      <c r="B204" s="17">
        <v>-7.53426999999999</v>
      </c>
      <c r="C204" s="17">
        <v>110.84764</v>
      </c>
    </row>
    <row r="205">
      <c r="A205" s="23" t="s">
        <v>373</v>
      </c>
      <c r="B205" s="17">
        <v>-7.5359891</v>
      </c>
      <c r="C205" s="17">
        <v>110.8454378</v>
      </c>
    </row>
    <row r="206">
      <c r="A206" s="23" t="s">
        <v>374</v>
      </c>
      <c r="B206" s="17">
        <v>-7.53729</v>
      </c>
      <c r="C206" s="17">
        <v>110.84281</v>
      </c>
    </row>
    <row r="207">
      <c r="A207" s="23" t="s">
        <v>375</v>
      </c>
      <c r="B207" s="17">
        <v>-7.53681999999999</v>
      </c>
      <c r="C207" s="17">
        <v>110.84076</v>
      </c>
    </row>
    <row r="208">
      <c r="A208" s="23" t="s">
        <v>376</v>
      </c>
      <c r="B208" s="17">
        <v>-7.53622999999999</v>
      </c>
      <c r="C208" s="17">
        <v>110.8391</v>
      </c>
    </row>
    <row r="209">
      <c r="A209" s="23" t="s">
        <v>377</v>
      </c>
      <c r="B209" s="17">
        <v>-7.53564999999999</v>
      </c>
      <c r="C209" s="17">
        <v>110.83737</v>
      </c>
    </row>
    <row r="210">
      <c r="A210" s="23" t="s">
        <v>378</v>
      </c>
      <c r="B210" s="17">
        <v>-7.5369588</v>
      </c>
      <c r="C210" s="17">
        <v>110.8370794</v>
      </c>
    </row>
    <row r="211">
      <c r="A211" s="23" t="s">
        <v>379</v>
      </c>
      <c r="B211" s="17">
        <v>-7.5398062</v>
      </c>
      <c r="C211" s="17">
        <v>110.8364925</v>
      </c>
    </row>
    <row r="212">
      <c r="A212" s="23" t="s">
        <v>380</v>
      </c>
      <c r="B212" s="17">
        <v>-7.5268371</v>
      </c>
      <c r="C212" s="17">
        <v>110.8238804</v>
      </c>
    </row>
    <row r="213">
      <c r="A213" s="23" t="s">
        <v>381</v>
      </c>
      <c r="B213" s="17">
        <v>-7.54788999999999</v>
      </c>
      <c r="C213" s="17">
        <v>110.83053</v>
      </c>
    </row>
    <row r="214">
      <c r="A214" s="15" t="s">
        <v>382</v>
      </c>
      <c r="B214" s="24">
        <v>-7.5502049</v>
      </c>
      <c r="C214" s="24">
        <v>110.8301422</v>
      </c>
    </row>
    <row r="215">
      <c r="A215" s="17" t="s">
        <v>383</v>
      </c>
      <c r="B215" s="17">
        <v>-7.55248119999999</v>
      </c>
      <c r="C215" s="17">
        <v>110.8294831</v>
      </c>
    </row>
    <row r="216">
      <c r="A216" s="17" t="s">
        <v>384</v>
      </c>
      <c r="B216" s="17">
        <v>-7.5549</v>
      </c>
      <c r="C216" s="17">
        <v>110.8293</v>
      </c>
    </row>
    <row r="217">
      <c r="A217" s="15" t="s">
        <v>220</v>
      </c>
      <c r="B217" s="24">
        <v>-7.55898</v>
      </c>
      <c r="C217" s="24">
        <v>110.82847</v>
      </c>
    </row>
    <row r="218">
      <c r="A218" s="15" t="s">
        <v>219</v>
      </c>
      <c r="B218" s="24">
        <v>-7.56050599999999</v>
      </c>
      <c r="C218" s="24">
        <v>110.828336</v>
      </c>
    </row>
    <row r="219">
      <c r="A219" s="15" t="s">
        <v>385</v>
      </c>
      <c r="B219" s="24">
        <v>-7.56089</v>
      </c>
      <c r="C219" s="24">
        <v>110.82831</v>
      </c>
    </row>
    <row r="220">
      <c r="A220" s="15" t="s">
        <v>386</v>
      </c>
      <c r="B220" s="24">
        <v>-7.56149259999999</v>
      </c>
      <c r="C220" s="24">
        <v>110.8269797</v>
      </c>
    </row>
    <row r="221">
      <c r="A221" s="15" t="s">
        <v>387</v>
      </c>
      <c r="B221" s="24">
        <v>-7.56399999999999</v>
      </c>
      <c r="C221" s="24">
        <v>110.82569</v>
      </c>
    </row>
    <row r="222">
      <c r="A222" s="15" t="s">
        <v>388</v>
      </c>
      <c r="B222" s="24">
        <v>-7.56363999999999</v>
      </c>
      <c r="C222" s="24">
        <v>110.82383</v>
      </c>
    </row>
    <row r="223">
      <c r="A223" s="15" t="s">
        <v>389</v>
      </c>
      <c r="B223" s="29">
        <v>-7.5646311</v>
      </c>
      <c r="C223" s="29">
        <v>110.8219116</v>
      </c>
    </row>
    <row r="224">
      <c r="A224" s="15" t="s">
        <v>390</v>
      </c>
      <c r="B224" s="24">
        <v>-7.5631</v>
      </c>
      <c r="C224" s="24">
        <v>110.8206885</v>
      </c>
    </row>
    <row r="225">
      <c r="A225" s="15" t="s">
        <v>391</v>
      </c>
      <c r="B225" s="24">
        <v>-7.5625</v>
      </c>
      <c r="C225" s="24">
        <v>110.81992</v>
      </c>
    </row>
    <row r="226">
      <c r="A226" s="15" t="s">
        <v>392</v>
      </c>
      <c r="B226" s="24">
        <v>-7.56506269999999</v>
      </c>
      <c r="C226" s="25">
        <v>110.8180808</v>
      </c>
    </row>
    <row r="227">
      <c r="A227" s="15" t="s">
        <v>393</v>
      </c>
      <c r="B227" s="25">
        <v>-7.56637449999999</v>
      </c>
      <c r="C227" s="25">
        <v>110.8187841</v>
      </c>
    </row>
    <row r="228">
      <c r="A228" s="15" t="s">
        <v>394</v>
      </c>
      <c r="B228" s="25">
        <v>-7.5690328</v>
      </c>
      <c r="C228" s="25">
        <v>110.8170926</v>
      </c>
    </row>
    <row r="229">
      <c r="A229" s="15" t="s">
        <v>395</v>
      </c>
      <c r="B229" s="25">
        <v>-7.5724513</v>
      </c>
      <c r="C229" s="25">
        <v>110.8163161</v>
      </c>
    </row>
    <row r="230">
      <c r="A230" s="15" t="s">
        <v>396</v>
      </c>
      <c r="B230" s="29">
        <v>-7.57448999999999</v>
      </c>
      <c r="C230" s="29">
        <v>110.82047</v>
      </c>
    </row>
    <row r="231">
      <c r="A231" s="15" t="s">
        <v>397</v>
      </c>
      <c r="B231" s="25">
        <v>-7.57519</v>
      </c>
      <c r="C231" s="25">
        <v>110.82239</v>
      </c>
    </row>
    <row r="232">
      <c r="A232" s="15" t="s">
        <v>398</v>
      </c>
      <c r="B232" s="25">
        <v>-7.58294</v>
      </c>
      <c r="C232" s="25">
        <v>110.82355</v>
      </c>
    </row>
    <row r="233">
      <c r="A233" s="15" t="s">
        <v>399</v>
      </c>
      <c r="B233" s="25">
        <v>-7.583363</v>
      </c>
      <c r="C233" s="25">
        <v>110.82487</v>
      </c>
    </row>
    <row r="234">
      <c r="A234" s="15" t="s">
        <v>400</v>
      </c>
      <c r="B234" s="25">
        <v>-7.5849525</v>
      </c>
      <c r="C234" s="25">
        <v>110.8290043</v>
      </c>
    </row>
    <row r="235">
      <c r="A235" s="15" t="s">
        <v>401</v>
      </c>
      <c r="B235" s="25">
        <v>-7.58623</v>
      </c>
      <c r="C235" s="25">
        <v>110.83403</v>
      </c>
    </row>
    <row r="236">
      <c r="A236" s="15" t="s">
        <v>402</v>
      </c>
      <c r="B236" s="25">
        <v>-7.58938</v>
      </c>
      <c r="C236" s="25">
        <v>110.8350067</v>
      </c>
    </row>
    <row r="237">
      <c r="A237" s="17" t="s">
        <v>403</v>
      </c>
      <c r="B237" s="17">
        <v>-7.53763249999999</v>
      </c>
      <c r="C237" s="17">
        <v>110.8473043</v>
      </c>
    </row>
    <row r="238">
      <c r="A238" s="17" t="s">
        <v>404</v>
      </c>
      <c r="B238" s="17">
        <v>-7.5439</v>
      </c>
      <c r="C238" s="17">
        <v>110.84203</v>
      </c>
    </row>
    <row r="239">
      <c r="A239" s="17" t="s">
        <v>405</v>
      </c>
      <c r="B239" s="17">
        <v>-7.54627</v>
      </c>
      <c r="C239" s="17">
        <v>110.84139</v>
      </c>
    </row>
    <row r="240">
      <c r="A240" s="17" t="s">
        <v>406</v>
      </c>
      <c r="B240" s="17">
        <v>-7.55075999999999</v>
      </c>
      <c r="C240" s="17">
        <v>110.84052</v>
      </c>
    </row>
    <row r="241">
      <c r="A241" s="17" t="s">
        <v>407</v>
      </c>
      <c r="B241" s="17">
        <v>-7.55221</v>
      </c>
      <c r="C241" s="17">
        <v>110.84021</v>
      </c>
    </row>
    <row r="242">
      <c r="A242" s="17" t="s">
        <v>408</v>
      </c>
      <c r="B242" s="17">
        <v>-7.5537</v>
      </c>
      <c r="C242" s="17">
        <v>110.83924</v>
      </c>
    </row>
    <row r="243">
      <c r="A243" s="17" t="s">
        <v>409</v>
      </c>
      <c r="B243" s="17">
        <v>-7.55991199999999</v>
      </c>
      <c r="C243" s="17">
        <v>110.838502</v>
      </c>
    </row>
    <row r="244">
      <c r="A244" s="17" t="s">
        <v>410</v>
      </c>
      <c r="B244" s="17">
        <v>-7.56025859999999</v>
      </c>
      <c r="C244" s="17">
        <v>110.8285074</v>
      </c>
    </row>
    <row r="245">
      <c r="A245" s="17" t="s">
        <v>411</v>
      </c>
      <c r="B245" s="17">
        <v>-7.56089</v>
      </c>
      <c r="C245" s="17">
        <v>110.82831</v>
      </c>
    </row>
    <row r="246">
      <c r="A246" s="17" t="s">
        <v>412</v>
      </c>
      <c r="B246" s="17">
        <v>-7.56246</v>
      </c>
      <c r="C246" s="17">
        <v>110.82638</v>
      </c>
    </row>
    <row r="247">
      <c r="A247" s="17" t="s">
        <v>413</v>
      </c>
      <c r="B247" s="17">
        <v>-7.52598</v>
      </c>
      <c r="C247" s="17">
        <v>110.81193</v>
      </c>
    </row>
    <row r="248">
      <c r="A248" s="17" t="s">
        <v>414</v>
      </c>
      <c r="B248" s="17">
        <v>-7.5284005</v>
      </c>
      <c r="C248" s="17">
        <v>110.8130387</v>
      </c>
    </row>
    <row r="249">
      <c r="A249" s="17" t="s">
        <v>415</v>
      </c>
      <c r="B249" s="17">
        <v>-7.5296961</v>
      </c>
      <c r="C249" s="17">
        <v>110.8170136</v>
      </c>
    </row>
    <row r="250">
      <c r="A250" s="17" t="s">
        <v>416</v>
      </c>
      <c r="B250" s="17">
        <v>-7.5327352</v>
      </c>
      <c r="C250" s="17">
        <v>110.8128067</v>
      </c>
    </row>
    <row r="251">
      <c r="A251" s="17" t="s">
        <v>417</v>
      </c>
      <c r="B251" s="17">
        <v>-7.53464</v>
      </c>
      <c r="C251" s="17">
        <v>110.81287</v>
      </c>
    </row>
    <row r="252">
      <c r="A252" s="17" t="s">
        <v>418</v>
      </c>
      <c r="B252" s="17">
        <v>-7.53893</v>
      </c>
      <c r="C252" s="17">
        <v>110.81225</v>
      </c>
    </row>
    <row r="253">
      <c r="A253" s="17" t="s">
        <v>419</v>
      </c>
      <c r="B253" s="17">
        <v>-7.5408</v>
      </c>
      <c r="C253" s="17">
        <v>110.81279</v>
      </c>
    </row>
    <row r="254">
      <c r="A254" s="17" t="s">
        <v>420</v>
      </c>
      <c r="B254" s="17">
        <v>-7.54238</v>
      </c>
      <c r="C254" s="17">
        <v>110.8127</v>
      </c>
    </row>
    <row r="255">
      <c r="A255" s="17" t="s">
        <v>421</v>
      </c>
      <c r="B255" s="17">
        <v>-7.54238</v>
      </c>
      <c r="C255" s="17">
        <v>110.81505</v>
      </c>
    </row>
    <row r="256">
      <c r="A256" s="17" t="s">
        <v>422</v>
      </c>
      <c r="B256" s="17">
        <v>-7.5470739</v>
      </c>
      <c r="C256" s="17">
        <v>110.821048</v>
      </c>
    </row>
    <row r="257">
      <c r="A257" s="17" t="s">
        <v>423</v>
      </c>
      <c r="B257" s="17">
        <v>-7.551</v>
      </c>
      <c r="C257" s="17">
        <v>110.82199</v>
      </c>
    </row>
    <row r="258">
      <c r="A258" s="17" t="s">
        <v>424</v>
      </c>
      <c r="B258" s="17">
        <v>-7.55298999999999</v>
      </c>
      <c r="C258" s="17">
        <v>110.82264</v>
      </c>
    </row>
    <row r="259">
      <c r="A259" s="17" t="s">
        <v>425</v>
      </c>
      <c r="B259" s="17">
        <v>-7.5917899</v>
      </c>
      <c r="C259" s="17">
        <v>110.8337084</v>
      </c>
    </row>
    <row r="260">
      <c r="A260" s="17" t="s">
        <v>426</v>
      </c>
      <c r="B260" s="17">
        <v>-7.55783859999999</v>
      </c>
      <c r="C260" s="17">
        <v>110.8249888</v>
      </c>
    </row>
    <row r="261">
      <c r="A261" s="17" t="s">
        <v>427</v>
      </c>
      <c r="B261" s="17">
        <v>-7.55927</v>
      </c>
      <c r="C261" s="17">
        <v>110.82464</v>
      </c>
    </row>
    <row r="262">
      <c r="A262" s="17" t="s">
        <v>428</v>
      </c>
      <c r="B262" s="17">
        <v>-7.5626552</v>
      </c>
      <c r="C262" s="17">
        <v>110.8247223</v>
      </c>
    </row>
    <row r="263">
      <c r="A263" s="17" t="s">
        <v>96</v>
      </c>
      <c r="B263" s="17">
        <v>-7.56203319999999</v>
      </c>
      <c r="C263" s="17">
        <v>110.8260413</v>
      </c>
    </row>
    <row r="264">
      <c r="A264" s="17" t="s">
        <v>429</v>
      </c>
      <c r="B264" s="17">
        <v>-7.56284</v>
      </c>
      <c r="C264" s="17">
        <v>110.82859</v>
      </c>
    </row>
    <row r="265">
      <c r="A265" s="17" t="s">
        <v>430</v>
      </c>
      <c r="B265" s="17">
        <v>-7.5647671</v>
      </c>
      <c r="C265" s="17">
        <v>110.8283736</v>
      </c>
    </row>
    <row r="266">
      <c r="A266" s="17" t="s">
        <v>431</v>
      </c>
      <c r="B266" s="17">
        <v>-7.56568</v>
      </c>
      <c r="C266" s="17">
        <v>110.83097</v>
      </c>
    </row>
    <row r="267">
      <c r="A267" s="17" t="s">
        <v>432</v>
      </c>
      <c r="B267" s="17">
        <v>-7.56591</v>
      </c>
      <c r="C267" s="17">
        <v>110.83212</v>
      </c>
    </row>
    <row r="268">
      <c r="A268" s="17" t="s">
        <v>225</v>
      </c>
      <c r="B268" s="17">
        <v>-7.57376999999999</v>
      </c>
      <c r="C268" s="17">
        <v>110.82936</v>
      </c>
    </row>
    <row r="269">
      <c r="A269" s="17" t="s">
        <v>226</v>
      </c>
      <c r="B269" s="17">
        <v>-7.5752054</v>
      </c>
      <c r="C269" s="17">
        <v>110.8296154</v>
      </c>
    </row>
    <row r="270">
      <c r="A270" s="17" t="s">
        <v>227</v>
      </c>
      <c r="B270" s="17">
        <v>-7.57607</v>
      </c>
      <c r="C270" s="17">
        <v>110.82909</v>
      </c>
    </row>
    <row r="271">
      <c r="A271" s="17" t="s">
        <v>433</v>
      </c>
      <c r="B271" s="17">
        <v>-7.57505</v>
      </c>
      <c r="C271" s="17">
        <v>110.82771</v>
      </c>
    </row>
    <row r="272">
      <c r="A272" s="17" t="s">
        <v>434</v>
      </c>
      <c r="B272" s="17">
        <v>-7.57682999999999</v>
      </c>
      <c r="C272" s="17">
        <v>110.83078</v>
      </c>
    </row>
    <row r="273">
      <c r="A273" s="17" t="s">
        <v>435</v>
      </c>
      <c r="B273" s="17">
        <v>-7.57874999999999</v>
      </c>
      <c r="C273" s="17">
        <v>110.83151</v>
      </c>
    </row>
    <row r="274">
      <c r="A274" s="17" t="s">
        <v>436</v>
      </c>
      <c r="B274" s="17">
        <v>-7.5817821</v>
      </c>
      <c r="C274" s="17">
        <v>110.8314041</v>
      </c>
    </row>
    <row r="275">
      <c r="A275" s="17" t="s">
        <v>437</v>
      </c>
      <c r="B275" s="17">
        <v>-7.58285</v>
      </c>
      <c r="C275" s="17">
        <v>110.82998</v>
      </c>
    </row>
    <row r="276">
      <c r="A276" s="17" t="s">
        <v>438</v>
      </c>
      <c r="B276" s="17">
        <v>-7.58495</v>
      </c>
      <c r="C276" s="17">
        <v>110.82536</v>
      </c>
    </row>
    <row r="277">
      <c r="A277" s="17" t="s">
        <v>439</v>
      </c>
      <c r="B277" s="17">
        <v>-7.58923</v>
      </c>
      <c r="C277" s="17">
        <v>110.82371</v>
      </c>
    </row>
    <row r="278">
      <c r="A278" s="17" t="s">
        <v>440</v>
      </c>
      <c r="B278" s="17">
        <v>-7.58866</v>
      </c>
      <c r="C278" s="17">
        <v>110.8203</v>
      </c>
    </row>
    <row r="279">
      <c r="A279" s="17" t="s">
        <v>441</v>
      </c>
      <c r="B279" s="17">
        <v>-7.58496999999999</v>
      </c>
      <c r="C279" s="17">
        <v>110.81601</v>
      </c>
    </row>
    <row r="280">
      <c r="A280" s="17" t="s">
        <v>442</v>
      </c>
      <c r="B280" s="17">
        <v>-7.58168</v>
      </c>
      <c r="C280" s="17">
        <v>110.81775</v>
      </c>
    </row>
    <row r="281">
      <c r="A281" s="23" t="s">
        <v>443</v>
      </c>
      <c r="B281" s="24">
        <v>-7.5794</v>
      </c>
      <c r="C281" s="24">
        <v>110.81467</v>
      </c>
    </row>
    <row r="282">
      <c r="A282" s="23" t="s">
        <v>444</v>
      </c>
      <c r="B282" s="24">
        <v>-7.5778893</v>
      </c>
      <c r="C282" s="24">
        <v>110.8152941</v>
      </c>
    </row>
    <row r="283">
      <c r="A283" s="23" t="s">
        <v>445</v>
      </c>
      <c r="B283" s="24">
        <v>-7.58921</v>
      </c>
      <c r="C283" s="24">
        <v>110.82371</v>
      </c>
    </row>
    <row r="284">
      <c r="A284" s="23" t="s">
        <v>446</v>
      </c>
      <c r="B284" s="24">
        <v>-7.57262729999999</v>
      </c>
      <c r="C284" s="24">
        <v>110.8155196</v>
      </c>
    </row>
    <row r="285">
      <c r="A285" s="23" t="s">
        <v>447</v>
      </c>
      <c r="B285" s="24">
        <v>-7.57101869999999</v>
      </c>
      <c r="C285" s="24">
        <v>110.8149706</v>
      </c>
    </row>
    <row r="286">
      <c r="A286" s="23" t="s">
        <v>448</v>
      </c>
      <c r="B286" s="24">
        <v>-7.5698</v>
      </c>
      <c r="C286" s="24">
        <v>110.81189</v>
      </c>
    </row>
    <row r="287">
      <c r="A287" s="23" t="s">
        <v>449</v>
      </c>
      <c r="B287" s="24">
        <v>-7.56934</v>
      </c>
      <c r="C287" s="24">
        <v>110.8083</v>
      </c>
    </row>
    <row r="288">
      <c r="A288" s="23" t="s">
        <v>450</v>
      </c>
      <c r="B288" s="24">
        <v>-7.56853</v>
      </c>
      <c r="C288" s="24">
        <v>110.80295</v>
      </c>
    </row>
    <row r="289">
      <c r="A289" s="23" t="s">
        <v>451</v>
      </c>
      <c r="B289" s="24">
        <v>-7.56765</v>
      </c>
      <c r="C289" s="24">
        <v>110.80092</v>
      </c>
    </row>
    <row r="290">
      <c r="A290" s="23" t="s">
        <v>452</v>
      </c>
      <c r="B290" s="24">
        <v>-7.5672</v>
      </c>
      <c r="C290" s="24">
        <v>110.79906</v>
      </c>
    </row>
    <row r="291">
      <c r="A291" s="23" t="s">
        <v>453</v>
      </c>
      <c r="B291" s="24">
        <v>-7.56842999999999</v>
      </c>
      <c r="C291" s="24">
        <v>110.79086</v>
      </c>
    </row>
    <row r="292">
      <c r="A292" s="23" t="s">
        <v>454</v>
      </c>
      <c r="B292" s="24">
        <v>-7.56813</v>
      </c>
      <c r="C292" s="24">
        <v>110.78669</v>
      </c>
    </row>
    <row r="293">
      <c r="A293" s="15" t="s">
        <v>455</v>
      </c>
      <c r="B293" s="29">
        <v>-7.57069999999999</v>
      </c>
      <c r="C293" s="29">
        <v>110.7838272</v>
      </c>
    </row>
    <row r="294">
      <c r="A294" s="23" t="s">
        <v>456</v>
      </c>
      <c r="B294" s="25">
        <v>-7.57117</v>
      </c>
      <c r="C294" s="24">
        <v>110.7839</v>
      </c>
    </row>
    <row r="295">
      <c r="A295" s="23" t="s">
        <v>457</v>
      </c>
      <c r="B295" s="24">
        <v>-7.57328</v>
      </c>
      <c r="C295" s="24">
        <v>110.78369</v>
      </c>
    </row>
    <row r="296">
      <c r="A296" s="23" t="s">
        <v>458</v>
      </c>
      <c r="B296" s="24">
        <v>-7.5760714</v>
      </c>
      <c r="C296" s="24">
        <v>110.7823889</v>
      </c>
    </row>
    <row r="297">
      <c r="A297" s="23" t="s">
        <v>459</v>
      </c>
      <c r="B297" s="24">
        <v>-7.57762</v>
      </c>
      <c r="C297" s="24">
        <v>110.78282</v>
      </c>
    </row>
    <row r="298">
      <c r="A298" s="23" t="s">
        <v>460</v>
      </c>
      <c r="B298" s="24">
        <v>-7.57922</v>
      </c>
      <c r="C298" s="24">
        <v>110.78318</v>
      </c>
    </row>
    <row r="299">
      <c r="A299" s="13" t="s">
        <v>461</v>
      </c>
      <c r="B299" s="25">
        <v>-7.5842</v>
      </c>
      <c r="C299" s="25">
        <v>110.7844</v>
      </c>
    </row>
    <row r="300">
      <c r="A300" s="13" t="s">
        <v>462</v>
      </c>
      <c r="B300" s="25">
        <v>-7.58321</v>
      </c>
      <c r="C300" s="25">
        <v>110.78354</v>
      </c>
    </row>
    <row r="301">
      <c r="A301" s="17" t="s">
        <v>463</v>
      </c>
      <c r="B301" s="17">
        <v>-7.562999</v>
      </c>
      <c r="C301" s="17">
        <v>110.84478</v>
      </c>
    </row>
    <row r="302">
      <c r="A302" s="17" t="s">
        <v>464</v>
      </c>
      <c r="B302" s="17">
        <v>-7.57368749999999</v>
      </c>
      <c r="C302" s="17">
        <v>110.8313159</v>
      </c>
    </row>
    <row r="303">
      <c r="A303" s="17" t="s">
        <v>465</v>
      </c>
      <c r="B303" s="17">
        <v>-7.5734005</v>
      </c>
      <c r="C303" s="17">
        <v>110.8334058</v>
      </c>
    </row>
    <row r="304">
      <c r="A304" s="17" t="s">
        <v>466</v>
      </c>
      <c r="B304" s="17">
        <v>-7.57186</v>
      </c>
      <c r="C304" s="17">
        <v>110.83301</v>
      </c>
    </row>
    <row r="305">
      <c r="A305" s="17" t="s">
        <v>467</v>
      </c>
      <c r="B305" s="17">
        <v>-7.57092</v>
      </c>
      <c r="C305" s="17">
        <v>110.83065</v>
      </c>
    </row>
    <row r="306">
      <c r="A306" s="17" t="s">
        <v>468</v>
      </c>
      <c r="B306" s="17">
        <v>-7.56678179999999</v>
      </c>
      <c r="C306" s="17">
        <v>110.8347257</v>
      </c>
    </row>
    <row r="307">
      <c r="A307" s="17" t="s">
        <v>469</v>
      </c>
      <c r="B307" s="17">
        <v>-7.56761789999999</v>
      </c>
      <c r="C307" s="17">
        <v>110.8363499</v>
      </c>
    </row>
    <row r="308">
      <c r="A308" s="17" t="s">
        <v>470</v>
      </c>
      <c r="B308" s="17">
        <v>-7.5666989</v>
      </c>
      <c r="C308" s="17">
        <v>110.8387806</v>
      </c>
    </row>
    <row r="309">
      <c r="A309" s="17" t="s">
        <v>471</v>
      </c>
      <c r="B309" s="17">
        <v>-7.56534999999999</v>
      </c>
      <c r="C309" s="17">
        <v>110.84096</v>
      </c>
    </row>
    <row r="310">
      <c r="A310" s="17" t="s">
        <v>472</v>
      </c>
      <c r="B310" s="17">
        <v>-7.56549939999999</v>
      </c>
      <c r="C310" s="17">
        <v>110.8432094</v>
      </c>
    </row>
    <row r="311">
      <c r="A311" s="17" t="s">
        <v>473</v>
      </c>
      <c r="B311" s="17">
        <v>-7.56575689999999</v>
      </c>
      <c r="C311" s="17">
        <v>110.844802</v>
      </c>
    </row>
    <row r="312">
      <c r="A312" s="17" t="s">
        <v>474</v>
      </c>
      <c r="B312" s="17">
        <v>-7.56528019999999</v>
      </c>
      <c r="C312" s="17">
        <v>110.8463767</v>
      </c>
    </row>
    <row r="313">
      <c r="A313" s="23" t="s">
        <v>475</v>
      </c>
      <c r="B313" s="17">
        <v>-7.56739</v>
      </c>
      <c r="C313" s="17">
        <v>110.84744</v>
      </c>
    </row>
    <row r="314">
      <c r="A314" s="23" t="s">
        <v>476</v>
      </c>
      <c r="B314" s="17">
        <v>-7.5697</v>
      </c>
      <c r="C314" s="17">
        <v>110.84668</v>
      </c>
    </row>
    <row r="315">
      <c r="A315" s="23" t="s">
        <v>477</v>
      </c>
      <c r="B315" s="17">
        <v>-7.57028</v>
      </c>
      <c r="C315" s="17">
        <v>110.8476</v>
      </c>
    </row>
    <row r="316">
      <c r="A316" s="13" t="s">
        <v>478</v>
      </c>
      <c r="B316" s="17">
        <v>-7.56978999999999</v>
      </c>
      <c r="C316" s="17">
        <v>110.84972</v>
      </c>
    </row>
    <row r="317">
      <c r="A317" s="13" t="s">
        <v>479</v>
      </c>
      <c r="B317" s="17">
        <v>-7.56912</v>
      </c>
      <c r="C317" s="17">
        <v>110.85257</v>
      </c>
    </row>
    <row r="318">
      <c r="A318" s="13" t="s">
        <v>480</v>
      </c>
      <c r="B318" s="17">
        <v>-7.5683186</v>
      </c>
      <c r="C318" s="17">
        <v>110.8545831</v>
      </c>
    </row>
    <row r="319">
      <c r="A319" s="13" t="s">
        <v>481</v>
      </c>
      <c r="B319" s="17">
        <v>-7.56823</v>
      </c>
      <c r="C319" s="17">
        <v>110.85824</v>
      </c>
    </row>
    <row r="320">
      <c r="A320" s="13" t="s">
        <v>482</v>
      </c>
      <c r="B320" s="17">
        <v>-7.56701</v>
      </c>
      <c r="C320" s="17">
        <v>110.86017</v>
      </c>
    </row>
    <row r="330">
      <c r="A330" s="17"/>
      <c r="B330" s="17"/>
      <c r="C330" s="17"/>
    </row>
    <row r="331">
      <c r="A331" s="17"/>
      <c r="B331" s="17"/>
      <c r="C331" s="17"/>
    </row>
    <row r="337">
      <c r="A337" s="17"/>
      <c r="B337" s="17"/>
      <c r="C337" s="17"/>
    </row>
    <row r="338">
      <c r="A338" s="17"/>
      <c r="B338" s="17"/>
      <c r="C338" s="17"/>
    </row>
    <row r="339">
      <c r="A339" s="17"/>
      <c r="B339" s="17"/>
      <c r="C339" s="17"/>
    </row>
    <row r="340">
      <c r="A340" s="17"/>
      <c r="B340" s="17"/>
      <c r="C340" s="17"/>
    </row>
    <row r="356">
      <c r="A356" s="13"/>
      <c r="B356" s="25"/>
      <c r="C356" s="25"/>
    </row>
    <row r="357">
      <c r="A357" s="13"/>
      <c r="B357" s="25"/>
      <c r="C357" s="25"/>
    </row>
    <row r="358">
      <c r="A358" s="13"/>
      <c r="B358" s="25"/>
      <c r="C358" s="25"/>
    </row>
  </sheetData>
  <conditionalFormatting sqref="A2:A358">
    <cfRule type="expression" dxfId="0" priority="1">
      <formula>COUNTIF($A$2:$A$360,A2)&gt;1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75"/>
  </cols>
  <sheetData>
    <row r="1">
      <c r="A1" s="17" t="s">
        <v>483</v>
      </c>
      <c r="B1" s="17" t="s">
        <v>484</v>
      </c>
      <c r="C1" s="2" t="s">
        <v>485</v>
      </c>
      <c r="D1" s="2" t="s">
        <v>486</v>
      </c>
    </row>
    <row r="2">
      <c r="A2" s="17" t="s">
        <v>147</v>
      </c>
      <c r="B2" s="17" t="s">
        <v>148</v>
      </c>
      <c r="C2" s="30">
        <v>2.0</v>
      </c>
      <c r="D2" s="2" t="s">
        <v>10</v>
      </c>
    </row>
    <row r="3">
      <c r="A3" s="17" t="s">
        <v>148</v>
      </c>
      <c r="B3" s="17" t="s">
        <v>149</v>
      </c>
      <c r="C3" s="30">
        <v>1.0</v>
      </c>
      <c r="D3" s="2" t="s">
        <v>10</v>
      </c>
    </row>
    <row r="4">
      <c r="A4" s="17" t="s">
        <v>149</v>
      </c>
      <c r="B4" s="17" t="s">
        <v>150</v>
      </c>
      <c r="C4" s="30">
        <v>1.0</v>
      </c>
      <c r="D4" s="2" t="s">
        <v>10</v>
      </c>
    </row>
    <row r="5">
      <c r="A5" s="17" t="s">
        <v>150</v>
      </c>
      <c r="B5" s="17" t="s">
        <v>151</v>
      </c>
      <c r="C5" s="30">
        <v>1.0</v>
      </c>
      <c r="D5" s="2" t="s">
        <v>10</v>
      </c>
    </row>
    <row r="6">
      <c r="A6" s="17" t="s">
        <v>151</v>
      </c>
      <c r="B6" s="17" t="s">
        <v>152</v>
      </c>
      <c r="C6" s="30">
        <v>1.0</v>
      </c>
      <c r="D6" s="2" t="s">
        <v>10</v>
      </c>
    </row>
    <row r="7">
      <c r="A7" s="17" t="s">
        <v>152</v>
      </c>
      <c r="B7" s="17" t="s">
        <v>153</v>
      </c>
      <c r="C7" s="30">
        <v>1.0</v>
      </c>
      <c r="D7" s="2" t="s">
        <v>10</v>
      </c>
    </row>
    <row r="8">
      <c r="A8" s="17" t="s">
        <v>153</v>
      </c>
      <c r="B8" s="17" t="s">
        <v>154</v>
      </c>
      <c r="C8" s="30">
        <v>1.0</v>
      </c>
      <c r="D8" s="2" t="s">
        <v>10</v>
      </c>
    </row>
    <row r="9">
      <c r="A9" s="17" t="s">
        <v>154</v>
      </c>
      <c r="B9" s="17" t="s">
        <v>155</v>
      </c>
      <c r="C9" s="30">
        <v>1.0</v>
      </c>
      <c r="D9" s="2" t="s">
        <v>10</v>
      </c>
    </row>
    <row r="10">
      <c r="A10" s="17" t="s">
        <v>155</v>
      </c>
      <c r="B10" s="17" t="s">
        <v>156</v>
      </c>
      <c r="C10" s="30">
        <v>2.0</v>
      </c>
      <c r="D10" s="2" t="s">
        <v>10</v>
      </c>
    </row>
    <row r="11">
      <c r="A11" s="17" t="s">
        <v>156</v>
      </c>
      <c r="B11" s="17" t="s">
        <v>157</v>
      </c>
      <c r="C11" s="30">
        <v>1.0</v>
      </c>
      <c r="D11" s="2" t="s">
        <v>10</v>
      </c>
    </row>
    <row r="12">
      <c r="A12" s="17" t="s">
        <v>157</v>
      </c>
      <c r="B12" s="17" t="s">
        <v>487</v>
      </c>
      <c r="C12" s="30">
        <v>1.0</v>
      </c>
      <c r="D12" s="2" t="s">
        <v>10</v>
      </c>
    </row>
    <row r="13">
      <c r="A13" s="17" t="s">
        <v>487</v>
      </c>
      <c r="B13" s="17" t="s">
        <v>66</v>
      </c>
      <c r="C13" s="30">
        <v>1.0</v>
      </c>
      <c r="D13" s="2" t="s">
        <v>10</v>
      </c>
    </row>
    <row r="14">
      <c r="A14" s="17" t="s">
        <v>66</v>
      </c>
      <c r="B14" s="17" t="s">
        <v>67</v>
      </c>
      <c r="C14" s="30">
        <v>1.0</v>
      </c>
      <c r="D14" s="2" t="s">
        <v>10</v>
      </c>
    </row>
    <row r="15">
      <c r="A15" s="17" t="s">
        <v>67</v>
      </c>
      <c r="B15" s="17" t="s">
        <v>69</v>
      </c>
      <c r="C15" s="30">
        <v>1.0</v>
      </c>
      <c r="D15" s="2" t="s">
        <v>10</v>
      </c>
    </row>
    <row r="16">
      <c r="A16" s="17" t="s">
        <v>69</v>
      </c>
      <c r="B16" s="17" t="s">
        <v>165</v>
      </c>
      <c r="C16" s="30">
        <v>1.0</v>
      </c>
      <c r="D16" s="2" t="s">
        <v>10</v>
      </c>
    </row>
    <row r="17">
      <c r="A17" s="17" t="s">
        <v>165</v>
      </c>
      <c r="B17" s="17" t="s">
        <v>166</v>
      </c>
      <c r="C17" s="30">
        <v>2.0</v>
      </c>
      <c r="D17" s="2" t="s">
        <v>10</v>
      </c>
    </row>
    <row r="18">
      <c r="A18" s="17" t="s">
        <v>166</v>
      </c>
      <c r="B18" s="17" t="s">
        <v>167</v>
      </c>
      <c r="C18" s="30">
        <v>1.0</v>
      </c>
      <c r="D18" s="2" t="s">
        <v>10</v>
      </c>
    </row>
    <row r="19">
      <c r="A19" s="17" t="s">
        <v>167</v>
      </c>
      <c r="B19" s="17" t="s">
        <v>168</v>
      </c>
      <c r="C19" s="30">
        <v>1.0</v>
      </c>
      <c r="D19" s="2" t="s">
        <v>10</v>
      </c>
    </row>
    <row r="20">
      <c r="A20" s="17" t="s">
        <v>168</v>
      </c>
      <c r="B20" s="17" t="s">
        <v>169</v>
      </c>
      <c r="C20" s="30">
        <v>1.0</v>
      </c>
      <c r="D20" s="2" t="s">
        <v>10</v>
      </c>
    </row>
    <row r="21">
      <c r="A21" s="17" t="s">
        <v>169</v>
      </c>
      <c r="B21" s="17" t="s">
        <v>170</v>
      </c>
      <c r="C21" s="30">
        <v>1.0</v>
      </c>
      <c r="D21" s="2" t="s">
        <v>10</v>
      </c>
    </row>
    <row r="22">
      <c r="A22" s="17" t="s">
        <v>170</v>
      </c>
      <c r="B22" s="17" t="s">
        <v>171</v>
      </c>
      <c r="C22" s="30">
        <v>1.0</v>
      </c>
      <c r="D22" s="2" t="s">
        <v>10</v>
      </c>
    </row>
    <row r="23">
      <c r="A23" s="17" t="s">
        <v>171</v>
      </c>
      <c r="B23" s="17" t="s">
        <v>172</v>
      </c>
      <c r="C23" s="30">
        <v>1.0</v>
      </c>
      <c r="D23" s="2" t="s">
        <v>10</v>
      </c>
    </row>
    <row r="24">
      <c r="A24" s="17" t="s">
        <v>172</v>
      </c>
      <c r="B24" s="17" t="s">
        <v>173</v>
      </c>
      <c r="C24" s="30">
        <v>1.0</v>
      </c>
      <c r="D24" s="2" t="s">
        <v>10</v>
      </c>
    </row>
    <row r="25">
      <c r="A25" s="17" t="s">
        <v>173</v>
      </c>
      <c r="B25" s="17" t="s">
        <v>174</v>
      </c>
      <c r="C25" s="30">
        <v>1.0</v>
      </c>
      <c r="D25" s="2" t="s">
        <v>10</v>
      </c>
    </row>
    <row r="26">
      <c r="A26" s="17" t="s">
        <v>174</v>
      </c>
      <c r="B26" s="17" t="s">
        <v>175</v>
      </c>
      <c r="C26" s="30">
        <v>1.0</v>
      </c>
      <c r="D26" s="2" t="s">
        <v>10</v>
      </c>
    </row>
    <row r="27">
      <c r="A27" s="17" t="s">
        <v>175</v>
      </c>
      <c r="B27" s="17" t="s">
        <v>176</v>
      </c>
      <c r="C27" s="30">
        <v>1.0</v>
      </c>
      <c r="D27" s="2" t="s">
        <v>10</v>
      </c>
    </row>
    <row r="28">
      <c r="A28" s="17" t="s">
        <v>176</v>
      </c>
      <c r="B28" s="17" t="s">
        <v>177</v>
      </c>
      <c r="C28" s="30">
        <v>1.0</v>
      </c>
      <c r="D28" s="2" t="s">
        <v>10</v>
      </c>
    </row>
    <row r="29">
      <c r="A29" s="17" t="s">
        <v>177</v>
      </c>
      <c r="B29" s="17" t="s">
        <v>178</v>
      </c>
      <c r="C29" s="30">
        <v>1.0</v>
      </c>
      <c r="D29" s="2" t="s">
        <v>10</v>
      </c>
    </row>
    <row r="30">
      <c r="A30" s="17" t="s">
        <v>178</v>
      </c>
      <c r="B30" s="17" t="s">
        <v>179</v>
      </c>
      <c r="C30" s="30">
        <v>1.0</v>
      </c>
      <c r="D30" s="2" t="s">
        <v>10</v>
      </c>
    </row>
    <row r="31">
      <c r="A31" s="17" t="s">
        <v>179</v>
      </c>
      <c r="B31" s="17" t="s">
        <v>180</v>
      </c>
      <c r="C31" s="30">
        <v>2.0</v>
      </c>
      <c r="D31" s="2" t="s">
        <v>10</v>
      </c>
    </row>
    <row r="32">
      <c r="A32" s="17" t="s">
        <v>180</v>
      </c>
      <c r="B32" s="17" t="s">
        <v>181</v>
      </c>
      <c r="C32" s="30">
        <v>1.0</v>
      </c>
      <c r="D32" s="2" t="s">
        <v>10</v>
      </c>
    </row>
    <row r="33">
      <c r="A33" s="17" t="s">
        <v>181</v>
      </c>
      <c r="B33" s="17" t="s">
        <v>488</v>
      </c>
      <c r="C33" s="30">
        <v>2.0</v>
      </c>
      <c r="D33" s="2" t="s">
        <v>10</v>
      </c>
    </row>
    <row r="34">
      <c r="A34" s="17" t="s">
        <v>489</v>
      </c>
      <c r="B34" s="17" t="s">
        <v>490</v>
      </c>
      <c r="C34" s="30">
        <v>2.0</v>
      </c>
      <c r="D34" s="2" t="s">
        <v>10</v>
      </c>
    </row>
    <row r="35">
      <c r="A35" s="23" t="s">
        <v>491</v>
      </c>
      <c r="B35" s="23" t="s">
        <v>239</v>
      </c>
      <c r="C35" s="30">
        <v>1.0</v>
      </c>
      <c r="D35" s="2" t="s">
        <v>10</v>
      </c>
    </row>
    <row r="36">
      <c r="A36" s="23" t="s">
        <v>239</v>
      </c>
      <c r="B36" s="23" t="s">
        <v>240</v>
      </c>
      <c r="C36" s="30">
        <v>1.0</v>
      </c>
      <c r="D36" s="2" t="s">
        <v>10</v>
      </c>
    </row>
    <row r="37">
      <c r="A37" s="23" t="s">
        <v>240</v>
      </c>
      <c r="B37" s="23" t="s">
        <v>241</v>
      </c>
      <c r="C37" s="30">
        <v>1.0</v>
      </c>
      <c r="D37" s="2" t="s">
        <v>10</v>
      </c>
    </row>
    <row r="38">
      <c r="A38" s="23" t="s">
        <v>241</v>
      </c>
      <c r="B38" s="23" t="s">
        <v>242</v>
      </c>
      <c r="C38" s="30">
        <v>1.0</v>
      </c>
      <c r="D38" s="2" t="s">
        <v>10</v>
      </c>
    </row>
    <row r="39">
      <c r="A39" s="23" t="s">
        <v>242</v>
      </c>
      <c r="B39" s="23" t="s">
        <v>243</v>
      </c>
      <c r="C39" s="30">
        <v>1.0</v>
      </c>
      <c r="D39" s="2" t="s">
        <v>10</v>
      </c>
    </row>
    <row r="40">
      <c r="A40" s="23" t="s">
        <v>243</v>
      </c>
      <c r="B40" s="23" t="s">
        <v>244</v>
      </c>
      <c r="C40" s="31">
        <v>1.0</v>
      </c>
      <c r="D40" s="2" t="s">
        <v>10</v>
      </c>
    </row>
    <row r="41">
      <c r="A41" s="23" t="s">
        <v>244</v>
      </c>
      <c r="B41" s="23" t="s">
        <v>245</v>
      </c>
      <c r="C41" s="30">
        <v>1.0</v>
      </c>
      <c r="D41" s="2" t="s">
        <v>10</v>
      </c>
    </row>
    <row r="42">
      <c r="A42" s="23" t="s">
        <v>245</v>
      </c>
      <c r="B42" s="23" t="s">
        <v>246</v>
      </c>
      <c r="C42" s="30">
        <v>1.0</v>
      </c>
      <c r="D42" s="2" t="s">
        <v>10</v>
      </c>
    </row>
    <row r="43">
      <c r="A43" s="23" t="s">
        <v>246</v>
      </c>
      <c r="B43" s="15" t="s">
        <v>492</v>
      </c>
      <c r="C43" s="30">
        <v>1.0</v>
      </c>
      <c r="D43" s="2" t="s">
        <v>10</v>
      </c>
    </row>
    <row r="44">
      <c r="A44" s="15" t="s">
        <v>492</v>
      </c>
      <c r="B44" s="23" t="s">
        <v>248</v>
      </c>
      <c r="C44" s="30">
        <v>1.0</v>
      </c>
      <c r="D44" s="2" t="s">
        <v>10</v>
      </c>
    </row>
    <row r="45">
      <c r="A45" s="23" t="s">
        <v>248</v>
      </c>
      <c r="B45" s="23" t="s">
        <v>249</v>
      </c>
      <c r="C45" s="30">
        <v>1.0</v>
      </c>
      <c r="D45" s="2" t="s">
        <v>10</v>
      </c>
    </row>
    <row r="46">
      <c r="A46" s="23" t="s">
        <v>249</v>
      </c>
      <c r="B46" s="23" t="s">
        <v>250</v>
      </c>
      <c r="C46" s="30">
        <v>1.0</v>
      </c>
      <c r="D46" s="2" t="s">
        <v>10</v>
      </c>
    </row>
    <row r="47">
      <c r="A47" s="23" t="s">
        <v>250</v>
      </c>
      <c r="B47" s="23" t="s">
        <v>251</v>
      </c>
      <c r="C47" s="30">
        <v>1.0</v>
      </c>
      <c r="D47" s="2" t="s">
        <v>10</v>
      </c>
    </row>
    <row r="48">
      <c r="A48" s="23" t="s">
        <v>251</v>
      </c>
      <c r="B48" s="23" t="s">
        <v>252</v>
      </c>
      <c r="C48" s="30">
        <v>1.0</v>
      </c>
      <c r="D48" s="2" t="s">
        <v>10</v>
      </c>
    </row>
    <row r="49">
      <c r="A49" s="23" t="s">
        <v>252</v>
      </c>
      <c r="B49" s="23" t="s">
        <v>253</v>
      </c>
      <c r="C49" s="30">
        <v>1.0</v>
      </c>
      <c r="D49" s="2" t="s">
        <v>10</v>
      </c>
    </row>
    <row r="50">
      <c r="A50" s="23" t="s">
        <v>253</v>
      </c>
      <c r="B50" s="23" t="s">
        <v>254</v>
      </c>
      <c r="C50" s="30">
        <v>1.0</v>
      </c>
      <c r="D50" s="2" t="s">
        <v>10</v>
      </c>
    </row>
    <row r="51">
      <c r="A51" s="23" t="s">
        <v>254</v>
      </c>
      <c r="B51" s="23" t="s">
        <v>255</v>
      </c>
      <c r="C51" s="30">
        <v>1.0</v>
      </c>
      <c r="D51" s="2" t="s">
        <v>10</v>
      </c>
    </row>
    <row r="52">
      <c r="A52" s="23" t="s">
        <v>255</v>
      </c>
      <c r="B52" s="23" t="s">
        <v>256</v>
      </c>
      <c r="C52" s="30">
        <v>2.0</v>
      </c>
      <c r="D52" s="2" t="s">
        <v>10</v>
      </c>
    </row>
    <row r="53">
      <c r="A53" s="23" t="s">
        <v>256</v>
      </c>
      <c r="B53" s="23" t="s">
        <v>257</v>
      </c>
      <c r="C53" s="30">
        <v>1.0</v>
      </c>
      <c r="D53" s="2" t="s">
        <v>10</v>
      </c>
    </row>
    <row r="54">
      <c r="A54" s="23" t="s">
        <v>257</v>
      </c>
      <c r="B54" s="23" t="s">
        <v>258</v>
      </c>
      <c r="C54" s="30">
        <v>1.0</v>
      </c>
      <c r="D54" s="2" t="s">
        <v>10</v>
      </c>
    </row>
    <row r="55">
      <c r="A55" s="23" t="s">
        <v>258</v>
      </c>
      <c r="B55" s="23" t="s">
        <v>182</v>
      </c>
      <c r="C55" s="30">
        <v>1.0</v>
      </c>
      <c r="D55" s="2" t="s">
        <v>10</v>
      </c>
    </row>
    <row r="56">
      <c r="A56" s="23" t="s">
        <v>182</v>
      </c>
      <c r="B56" s="23" t="s">
        <v>183</v>
      </c>
      <c r="C56" s="30">
        <v>3.0</v>
      </c>
      <c r="D56" s="2" t="s">
        <v>10</v>
      </c>
    </row>
    <row r="57">
      <c r="A57" s="23" t="s">
        <v>183</v>
      </c>
      <c r="B57" s="23" t="s">
        <v>493</v>
      </c>
      <c r="C57" s="30">
        <v>4.0</v>
      </c>
      <c r="D57" s="2" t="s">
        <v>10</v>
      </c>
    </row>
    <row r="58">
      <c r="A58" s="23" t="s">
        <v>493</v>
      </c>
      <c r="B58" s="23" t="s">
        <v>185</v>
      </c>
      <c r="C58" s="30">
        <v>1.0</v>
      </c>
      <c r="D58" s="2" t="s">
        <v>10</v>
      </c>
    </row>
    <row r="59">
      <c r="A59" s="23" t="s">
        <v>185</v>
      </c>
      <c r="B59" s="23" t="s">
        <v>186</v>
      </c>
      <c r="C59" s="30">
        <v>1.0</v>
      </c>
      <c r="D59" s="2" t="s">
        <v>10</v>
      </c>
    </row>
    <row r="60">
      <c r="A60" s="23" t="s">
        <v>186</v>
      </c>
      <c r="B60" s="23" t="s">
        <v>187</v>
      </c>
      <c r="C60" s="30">
        <v>2.0</v>
      </c>
      <c r="D60" s="2" t="s">
        <v>10</v>
      </c>
    </row>
    <row r="61">
      <c r="A61" s="23" t="s">
        <v>187</v>
      </c>
      <c r="B61" s="23" t="s">
        <v>259</v>
      </c>
      <c r="C61" s="30">
        <v>1.0</v>
      </c>
      <c r="D61" s="2" t="s">
        <v>10</v>
      </c>
    </row>
    <row r="62">
      <c r="A62" s="23" t="s">
        <v>259</v>
      </c>
      <c r="B62" s="23" t="s">
        <v>260</v>
      </c>
      <c r="C62" s="30">
        <v>2.0</v>
      </c>
      <c r="D62" s="2" t="s">
        <v>10</v>
      </c>
    </row>
    <row r="63">
      <c r="A63" s="23" t="s">
        <v>260</v>
      </c>
      <c r="B63" s="13" t="s">
        <v>261</v>
      </c>
      <c r="C63" s="30">
        <v>2.0</v>
      </c>
      <c r="D63" s="2" t="s">
        <v>10</v>
      </c>
    </row>
    <row r="64">
      <c r="A64" s="13" t="s">
        <v>261</v>
      </c>
      <c r="B64" s="13" t="s">
        <v>262</v>
      </c>
      <c r="C64" s="30">
        <v>5.0</v>
      </c>
      <c r="D64" s="2" t="s">
        <v>10</v>
      </c>
    </row>
    <row r="65">
      <c r="A65" s="32" t="s">
        <v>147</v>
      </c>
      <c r="B65" s="17" t="s">
        <v>148</v>
      </c>
      <c r="C65" s="30">
        <v>2.0</v>
      </c>
      <c r="D65" s="2" t="s">
        <v>14</v>
      </c>
    </row>
    <row r="66">
      <c r="A66" s="32" t="s">
        <v>148</v>
      </c>
      <c r="B66" s="17" t="s">
        <v>149</v>
      </c>
      <c r="C66" s="30">
        <v>1.0</v>
      </c>
      <c r="D66" s="2" t="s">
        <v>14</v>
      </c>
    </row>
    <row r="67">
      <c r="A67" s="32" t="s">
        <v>149</v>
      </c>
      <c r="B67" s="17" t="s">
        <v>150</v>
      </c>
      <c r="C67" s="30">
        <v>1.0</v>
      </c>
      <c r="D67" s="2" t="s">
        <v>14</v>
      </c>
    </row>
    <row r="68">
      <c r="A68" s="32" t="s">
        <v>150</v>
      </c>
      <c r="B68" s="17" t="s">
        <v>494</v>
      </c>
      <c r="C68" s="30">
        <v>1.0</v>
      </c>
      <c r="D68" s="2" t="s">
        <v>14</v>
      </c>
    </row>
    <row r="69">
      <c r="A69" s="32" t="s">
        <v>494</v>
      </c>
      <c r="B69" s="17" t="s">
        <v>495</v>
      </c>
      <c r="C69" s="30">
        <v>1.0</v>
      </c>
      <c r="D69" s="2" t="s">
        <v>14</v>
      </c>
    </row>
    <row r="70">
      <c r="A70" s="32" t="s">
        <v>495</v>
      </c>
      <c r="B70" s="17" t="s">
        <v>153</v>
      </c>
      <c r="C70" s="30">
        <v>1.0</v>
      </c>
      <c r="D70" s="2" t="s">
        <v>14</v>
      </c>
    </row>
    <row r="71">
      <c r="A71" s="32" t="s">
        <v>153</v>
      </c>
      <c r="B71" s="17" t="s">
        <v>496</v>
      </c>
      <c r="C71" s="30">
        <v>1.0</v>
      </c>
      <c r="D71" s="2" t="s">
        <v>14</v>
      </c>
    </row>
    <row r="72">
      <c r="A72" s="32" t="s">
        <v>496</v>
      </c>
      <c r="B72" s="17" t="s">
        <v>497</v>
      </c>
      <c r="C72" s="30">
        <v>1.0</v>
      </c>
      <c r="D72" s="2" t="s">
        <v>14</v>
      </c>
    </row>
    <row r="73">
      <c r="A73" s="32" t="s">
        <v>497</v>
      </c>
      <c r="B73" s="17" t="s">
        <v>498</v>
      </c>
      <c r="C73" s="30">
        <v>2.0</v>
      </c>
      <c r="D73" s="2" t="s">
        <v>14</v>
      </c>
    </row>
    <row r="74">
      <c r="A74" s="32" t="s">
        <v>498</v>
      </c>
      <c r="B74" s="17" t="s">
        <v>499</v>
      </c>
      <c r="C74" s="30">
        <v>1.0</v>
      </c>
      <c r="D74" s="2" t="s">
        <v>14</v>
      </c>
    </row>
    <row r="75">
      <c r="A75" s="32" t="s">
        <v>499</v>
      </c>
      <c r="B75" s="17" t="s">
        <v>500</v>
      </c>
      <c r="C75" s="30">
        <v>1.0</v>
      </c>
      <c r="D75" s="2" t="s">
        <v>14</v>
      </c>
    </row>
    <row r="76">
      <c r="A76" s="32" t="s">
        <v>500</v>
      </c>
      <c r="B76" s="17" t="s">
        <v>501</v>
      </c>
      <c r="C76" s="30">
        <v>1.0</v>
      </c>
      <c r="D76" s="2" t="s">
        <v>14</v>
      </c>
    </row>
    <row r="77">
      <c r="A77" s="32" t="s">
        <v>501</v>
      </c>
      <c r="B77" s="17" t="s">
        <v>502</v>
      </c>
      <c r="C77" s="30">
        <v>1.0</v>
      </c>
      <c r="D77" s="2" t="s">
        <v>14</v>
      </c>
    </row>
    <row r="78">
      <c r="A78" s="32" t="s">
        <v>502</v>
      </c>
      <c r="B78" s="17" t="s">
        <v>503</v>
      </c>
      <c r="C78" s="30">
        <v>1.0</v>
      </c>
      <c r="D78" s="2" t="s">
        <v>14</v>
      </c>
    </row>
    <row r="79">
      <c r="A79" s="32" t="s">
        <v>503</v>
      </c>
      <c r="B79" s="17" t="s">
        <v>504</v>
      </c>
      <c r="C79" s="30">
        <v>1.0</v>
      </c>
      <c r="D79" s="2" t="s">
        <v>14</v>
      </c>
    </row>
    <row r="80">
      <c r="A80" s="32" t="s">
        <v>504</v>
      </c>
      <c r="B80" s="17" t="s">
        <v>188</v>
      </c>
      <c r="C80" s="30">
        <v>2.0</v>
      </c>
      <c r="D80" s="2" t="s">
        <v>14</v>
      </c>
    </row>
    <row r="81">
      <c r="A81" s="32" t="s">
        <v>188</v>
      </c>
      <c r="B81" s="17" t="s">
        <v>189</v>
      </c>
      <c r="C81" s="30">
        <v>1.0</v>
      </c>
      <c r="D81" s="2" t="s">
        <v>14</v>
      </c>
    </row>
    <row r="82">
      <c r="A82" s="32" t="s">
        <v>189</v>
      </c>
      <c r="B82" s="17" t="s">
        <v>190</v>
      </c>
      <c r="C82" s="30">
        <v>1.0</v>
      </c>
      <c r="D82" s="2" t="s">
        <v>14</v>
      </c>
    </row>
    <row r="83">
      <c r="A83" s="32" t="s">
        <v>190</v>
      </c>
      <c r="B83" s="17" t="s">
        <v>263</v>
      </c>
      <c r="C83" s="30">
        <v>1.0</v>
      </c>
      <c r="D83" s="2" t="s">
        <v>14</v>
      </c>
    </row>
    <row r="84">
      <c r="A84" s="32" t="s">
        <v>263</v>
      </c>
      <c r="B84" s="17" t="s">
        <v>264</v>
      </c>
      <c r="C84" s="30">
        <v>1.0</v>
      </c>
      <c r="D84" s="2" t="s">
        <v>14</v>
      </c>
    </row>
    <row r="85">
      <c r="A85" s="32" t="s">
        <v>264</v>
      </c>
      <c r="B85" s="17" t="s">
        <v>265</v>
      </c>
      <c r="C85" s="30">
        <v>2.0</v>
      </c>
      <c r="D85" s="2" t="s">
        <v>14</v>
      </c>
    </row>
    <row r="86">
      <c r="A86" s="32" t="s">
        <v>265</v>
      </c>
      <c r="B86" s="17" t="s">
        <v>266</v>
      </c>
      <c r="C86" s="30">
        <v>1.0</v>
      </c>
      <c r="D86" s="2" t="s">
        <v>14</v>
      </c>
    </row>
    <row r="87">
      <c r="A87" s="32" t="s">
        <v>266</v>
      </c>
      <c r="B87" s="17" t="s">
        <v>267</v>
      </c>
      <c r="C87" s="30">
        <v>1.0</v>
      </c>
      <c r="D87" s="2" t="s">
        <v>14</v>
      </c>
    </row>
    <row r="88">
      <c r="A88" s="32" t="s">
        <v>267</v>
      </c>
      <c r="B88" s="17" t="s">
        <v>268</v>
      </c>
      <c r="C88" s="30">
        <v>1.0</v>
      </c>
      <c r="D88" s="2" t="s">
        <v>14</v>
      </c>
    </row>
    <row r="89">
      <c r="A89" s="32" t="s">
        <v>268</v>
      </c>
      <c r="B89" s="17" t="s">
        <v>269</v>
      </c>
      <c r="C89" s="30">
        <v>1.0</v>
      </c>
      <c r="D89" s="2" t="s">
        <v>14</v>
      </c>
    </row>
    <row r="90">
      <c r="A90" s="32" t="s">
        <v>269</v>
      </c>
      <c r="B90" s="17" t="s">
        <v>270</v>
      </c>
      <c r="C90" s="30">
        <v>1.0</v>
      </c>
      <c r="D90" s="2" t="s">
        <v>14</v>
      </c>
    </row>
    <row r="91">
      <c r="A91" s="32" t="s">
        <v>270</v>
      </c>
      <c r="B91" s="17" t="s">
        <v>271</v>
      </c>
      <c r="C91" s="30">
        <v>1.0</v>
      </c>
      <c r="D91" s="2" t="s">
        <v>14</v>
      </c>
    </row>
    <row r="92">
      <c r="A92" s="32" t="s">
        <v>271</v>
      </c>
      <c r="B92" s="17" t="s">
        <v>272</v>
      </c>
      <c r="C92" s="30">
        <v>1.0</v>
      </c>
      <c r="D92" s="2" t="s">
        <v>14</v>
      </c>
    </row>
    <row r="93">
      <c r="A93" s="32" t="s">
        <v>272</v>
      </c>
      <c r="B93" s="17" t="s">
        <v>273</v>
      </c>
      <c r="C93" s="30">
        <v>1.0</v>
      </c>
      <c r="D93" s="2" t="s">
        <v>14</v>
      </c>
    </row>
    <row r="94">
      <c r="A94" s="32" t="s">
        <v>273</v>
      </c>
      <c r="B94" s="17" t="s">
        <v>191</v>
      </c>
      <c r="C94" s="30">
        <v>1.0</v>
      </c>
      <c r="D94" s="2" t="s">
        <v>14</v>
      </c>
    </row>
    <row r="95">
      <c r="A95" s="32" t="s">
        <v>191</v>
      </c>
      <c r="B95" s="17" t="s">
        <v>192</v>
      </c>
      <c r="C95" s="30">
        <v>1.0</v>
      </c>
      <c r="D95" s="2" t="s">
        <v>14</v>
      </c>
    </row>
    <row r="96">
      <c r="A96" s="32" t="s">
        <v>192</v>
      </c>
      <c r="B96" s="17" t="s">
        <v>181</v>
      </c>
      <c r="C96" s="30">
        <v>1.0</v>
      </c>
      <c r="D96" s="2" t="s">
        <v>14</v>
      </c>
    </row>
    <row r="97">
      <c r="A97" s="32" t="s">
        <v>181</v>
      </c>
      <c r="B97" s="17" t="s">
        <v>274</v>
      </c>
      <c r="C97" s="30">
        <v>1.0</v>
      </c>
      <c r="D97" s="2" t="s">
        <v>14</v>
      </c>
    </row>
    <row r="98">
      <c r="A98" s="32" t="s">
        <v>274</v>
      </c>
      <c r="B98" s="17" t="s">
        <v>275</v>
      </c>
      <c r="C98" s="30">
        <v>2.0</v>
      </c>
      <c r="D98" s="2" t="s">
        <v>14</v>
      </c>
    </row>
    <row r="99">
      <c r="A99" s="32" t="s">
        <v>275</v>
      </c>
      <c r="B99" s="17" t="s">
        <v>193</v>
      </c>
      <c r="C99" s="30">
        <v>1.0</v>
      </c>
      <c r="D99" s="2" t="s">
        <v>14</v>
      </c>
    </row>
    <row r="100">
      <c r="A100" s="32" t="s">
        <v>193</v>
      </c>
      <c r="B100" s="17" t="s">
        <v>194</v>
      </c>
      <c r="C100" s="30">
        <v>1.0</v>
      </c>
      <c r="D100" s="2" t="s">
        <v>14</v>
      </c>
    </row>
    <row r="101">
      <c r="A101" s="32" t="s">
        <v>194</v>
      </c>
      <c r="B101" s="17" t="s">
        <v>195</v>
      </c>
      <c r="C101" s="30">
        <v>1.0</v>
      </c>
      <c r="D101" s="2" t="s">
        <v>14</v>
      </c>
    </row>
    <row r="102">
      <c r="A102" s="32" t="s">
        <v>195</v>
      </c>
      <c r="B102" s="17" t="s">
        <v>276</v>
      </c>
      <c r="C102" s="30">
        <v>1.0</v>
      </c>
      <c r="D102" s="2" t="s">
        <v>14</v>
      </c>
    </row>
    <row r="103">
      <c r="A103" s="32" t="s">
        <v>276</v>
      </c>
      <c r="B103" s="17" t="s">
        <v>277</v>
      </c>
      <c r="C103" s="30">
        <v>1.0</v>
      </c>
      <c r="D103" s="2" t="s">
        <v>14</v>
      </c>
    </row>
    <row r="104">
      <c r="A104" s="32" t="s">
        <v>277</v>
      </c>
      <c r="B104" s="17" t="s">
        <v>278</v>
      </c>
      <c r="C104" s="30">
        <v>2.0</v>
      </c>
      <c r="D104" s="2" t="s">
        <v>14</v>
      </c>
    </row>
    <row r="105">
      <c r="A105" s="17" t="s">
        <v>505</v>
      </c>
      <c r="B105" s="17" t="s">
        <v>279</v>
      </c>
      <c r="C105" s="30">
        <v>3.0</v>
      </c>
      <c r="D105" s="2" t="s">
        <v>18</v>
      </c>
    </row>
    <row r="106">
      <c r="A106" s="17" t="s">
        <v>279</v>
      </c>
      <c r="B106" s="17" t="s">
        <v>280</v>
      </c>
      <c r="C106" s="30">
        <v>2.0</v>
      </c>
      <c r="D106" s="2" t="s">
        <v>18</v>
      </c>
    </row>
    <row r="107">
      <c r="A107" s="17" t="s">
        <v>280</v>
      </c>
      <c r="B107" s="17" t="s">
        <v>281</v>
      </c>
      <c r="C107" s="30">
        <v>1.0</v>
      </c>
      <c r="D107" s="2" t="s">
        <v>18</v>
      </c>
    </row>
    <row r="108">
      <c r="A108" s="17" t="s">
        <v>281</v>
      </c>
      <c r="B108" s="17" t="s">
        <v>282</v>
      </c>
      <c r="C108" s="30">
        <v>1.0</v>
      </c>
      <c r="D108" s="2" t="s">
        <v>18</v>
      </c>
    </row>
    <row r="109">
      <c r="A109" s="17" t="s">
        <v>282</v>
      </c>
      <c r="B109" s="17" t="s">
        <v>283</v>
      </c>
      <c r="C109" s="30">
        <v>1.0</v>
      </c>
      <c r="D109" s="2" t="s">
        <v>18</v>
      </c>
    </row>
    <row r="110">
      <c r="A110" s="17" t="s">
        <v>283</v>
      </c>
      <c r="B110" s="17" t="s">
        <v>284</v>
      </c>
      <c r="C110" s="30">
        <v>1.0</v>
      </c>
      <c r="D110" s="2" t="s">
        <v>18</v>
      </c>
    </row>
    <row r="111">
      <c r="A111" s="17" t="s">
        <v>284</v>
      </c>
      <c r="B111" s="17" t="s">
        <v>285</v>
      </c>
      <c r="C111" s="30">
        <v>1.0</v>
      </c>
      <c r="D111" s="2" t="s">
        <v>18</v>
      </c>
    </row>
    <row r="112">
      <c r="A112" s="17" t="s">
        <v>285</v>
      </c>
      <c r="B112" s="17" t="s">
        <v>286</v>
      </c>
      <c r="C112" s="30">
        <v>1.0</v>
      </c>
      <c r="D112" s="2" t="s">
        <v>18</v>
      </c>
    </row>
    <row r="113">
      <c r="A113" s="17" t="s">
        <v>286</v>
      </c>
      <c r="B113" s="17" t="s">
        <v>287</v>
      </c>
      <c r="C113" s="30">
        <v>1.0</v>
      </c>
      <c r="D113" s="2" t="s">
        <v>18</v>
      </c>
    </row>
    <row r="114">
      <c r="A114" s="17" t="s">
        <v>287</v>
      </c>
      <c r="B114" s="17" t="s">
        <v>288</v>
      </c>
      <c r="C114" s="30">
        <v>1.0</v>
      </c>
      <c r="D114" s="2" t="s">
        <v>18</v>
      </c>
    </row>
    <row r="115">
      <c r="A115" s="17" t="s">
        <v>288</v>
      </c>
      <c r="B115" s="17" t="s">
        <v>289</v>
      </c>
      <c r="C115" s="30">
        <v>1.0</v>
      </c>
      <c r="D115" s="2" t="s">
        <v>18</v>
      </c>
    </row>
    <row r="116">
      <c r="A116" s="17" t="s">
        <v>289</v>
      </c>
      <c r="B116" s="17" t="s">
        <v>290</v>
      </c>
      <c r="C116" s="30">
        <v>1.0</v>
      </c>
      <c r="D116" s="2" t="s">
        <v>18</v>
      </c>
    </row>
    <row r="117">
      <c r="A117" s="17" t="s">
        <v>290</v>
      </c>
      <c r="B117" s="17" t="s">
        <v>291</v>
      </c>
      <c r="C117" s="30">
        <v>1.0</v>
      </c>
      <c r="D117" s="2" t="s">
        <v>18</v>
      </c>
    </row>
    <row r="118">
      <c r="A118" s="17" t="s">
        <v>291</v>
      </c>
      <c r="B118" s="17" t="s">
        <v>292</v>
      </c>
      <c r="C118" s="30">
        <v>1.0</v>
      </c>
      <c r="D118" s="2" t="s">
        <v>18</v>
      </c>
    </row>
    <row r="119">
      <c r="A119" s="17" t="s">
        <v>292</v>
      </c>
      <c r="B119" s="17" t="s">
        <v>293</v>
      </c>
      <c r="C119" s="30">
        <v>1.0</v>
      </c>
      <c r="D119" s="2" t="s">
        <v>18</v>
      </c>
    </row>
    <row r="120">
      <c r="A120" s="17" t="s">
        <v>293</v>
      </c>
      <c r="B120" s="17" t="s">
        <v>196</v>
      </c>
      <c r="C120" s="30">
        <v>2.0</v>
      </c>
      <c r="D120" s="2" t="s">
        <v>18</v>
      </c>
    </row>
    <row r="121">
      <c r="A121" s="17" t="s">
        <v>196</v>
      </c>
      <c r="B121" s="17" t="s">
        <v>197</v>
      </c>
      <c r="C121" s="30">
        <v>1.0</v>
      </c>
      <c r="D121" s="2" t="s">
        <v>18</v>
      </c>
    </row>
    <row r="122">
      <c r="A122" s="17" t="s">
        <v>197</v>
      </c>
      <c r="B122" s="17" t="s">
        <v>194</v>
      </c>
      <c r="C122" s="30">
        <v>2.0</v>
      </c>
      <c r="D122" s="2" t="s">
        <v>18</v>
      </c>
    </row>
    <row r="123">
      <c r="A123" s="17" t="s">
        <v>194</v>
      </c>
      <c r="B123" s="17" t="s">
        <v>294</v>
      </c>
      <c r="C123" s="30">
        <v>1.0</v>
      </c>
      <c r="D123" s="2" t="s">
        <v>18</v>
      </c>
    </row>
    <row r="124">
      <c r="A124" s="17" t="s">
        <v>294</v>
      </c>
      <c r="B124" s="17" t="s">
        <v>295</v>
      </c>
      <c r="C124" s="30">
        <v>2.0</v>
      </c>
      <c r="D124" s="2" t="s">
        <v>18</v>
      </c>
    </row>
    <row r="125">
      <c r="A125" s="17" t="s">
        <v>295</v>
      </c>
      <c r="B125" s="17" t="s">
        <v>296</v>
      </c>
      <c r="C125" s="30">
        <v>1.0</v>
      </c>
      <c r="D125" s="2" t="s">
        <v>18</v>
      </c>
    </row>
    <row r="126">
      <c r="A126" s="17" t="s">
        <v>296</v>
      </c>
      <c r="B126" s="17" t="s">
        <v>297</v>
      </c>
      <c r="C126" s="30">
        <v>1.0</v>
      </c>
      <c r="D126" s="2" t="s">
        <v>18</v>
      </c>
    </row>
    <row r="127">
      <c r="A127" s="17" t="s">
        <v>297</v>
      </c>
      <c r="B127" s="17" t="s">
        <v>298</v>
      </c>
      <c r="C127" s="30">
        <v>1.0</v>
      </c>
      <c r="D127" s="2" t="s">
        <v>18</v>
      </c>
    </row>
    <row r="128">
      <c r="A128" s="17" t="s">
        <v>298</v>
      </c>
      <c r="B128" s="17" t="s">
        <v>299</v>
      </c>
      <c r="C128" s="30">
        <v>1.0</v>
      </c>
      <c r="D128" s="2" t="s">
        <v>18</v>
      </c>
    </row>
    <row r="129">
      <c r="A129" s="17" t="s">
        <v>299</v>
      </c>
      <c r="B129" s="17" t="s">
        <v>300</v>
      </c>
      <c r="C129" s="30">
        <v>1.0</v>
      </c>
      <c r="D129" s="2" t="s">
        <v>18</v>
      </c>
    </row>
    <row r="130">
      <c r="A130" s="17" t="s">
        <v>300</v>
      </c>
      <c r="B130" s="17" t="s">
        <v>301</v>
      </c>
      <c r="C130" s="30">
        <v>1.0</v>
      </c>
      <c r="D130" s="2" t="s">
        <v>18</v>
      </c>
    </row>
    <row r="131">
      <c r="A131" s="17" t="s">
        <v>301</v>
      </c>
      <c r="B131" s="17" t="s">
        <v>302</v>
      </c>
      <c r="C131" s="30">
        <v>1.0</v>
      </c>
      <c r="D131" s="2" t="s">
        <v>18</v>
      </c>
    </row>
    <row r="132">
      <c r="A132" s="17" t="s">
        <v>302</v>
      </c>
      <c r="B132" s="17" t="s">
        <v>198</v>
      </c>
      <c r="C132" s="30">
        <v>1.0</v>
      </c>
      <c r="D132" s="2" t="s">
        <v>18</v>
      </c>
    </row>
    <row r="133">
      <c r="A133" s="17" t="s">
        <v>198</v>
      </c>
      <c r="B133" s="17" t="s">
        <v>199</v>
      </c>
      <c r="C133" s="30">
        <v>1.0</v>
      </c>
      <c r="D133" s="2" t="s">
        <v>18</v>
      </c>
    </row>
    <row r="134">
      <c r="A134" s="17" t="s">
        <v>199</v>
      </c>
      <c r="B134" s="17" t="s">
        <v>303</v>
      </c>
      <c r="C134" s="30">
        <v>1.0</v>
      </c>
      <c r="D134" s="2" t="s">
        <v>18</v>
      </c>
    </row>
    <row r="135">
      <c r="A135" s="17" t="s">
        <v>303</v>
      </c>
      <c r="B135" s="17" t="s">
        <v>201</v>
      </c>
      <c r="C135" s="30">
        <v>1.0</v>
      </c>
      <c r="D135" s="2" t="s">
        <v>18</v>
      </c>
    </row>
    <row r="136">
      <c r="A136" s="17" t="s">
        <v>201</v>
      </c>
      <c r="B136" s="17" t="s">
        <v>202</v>
      </c>
      <c r="C136" s="30">
        <v>1.0</v>
      </c>
      <c r="D136" s="2" t="s">
        <v>18</v>
      </c>
    </row>
    <row r="137">
      <c r="A137" s="17" t="s">
        <v>202</v>
      </c>
      <c r="B137" s="17" t="s">
        <v>203</v>
      </c>
      <c r="C137" s="30">
        <v>1.0</v>
      </c>
      <c r="D137" s="2" t="s">
        <v>18</v>
      </c>
    </row>
    <row r="138">
      <c r="A138" s="17" t="s">
        <v>203</v>
      </c>
      <c r="B138" s="17" t="s">
        <v>174</v>
      </c>
      <c r="C138" s="30">
        <v>2.0</v>
      </c>
      <c r="D138" s="2" t="s">
        <v>18</v>
      </c>
    </row>
    <row r="139">
      <c r="A139" s="17" t="s">
        <v>174</v>
      </c>
      <c r="B139" s="17" t="s">
        <v>173</v>
      </c>
      <c r="C139" s="30">
        <v>1.0</v>
      </c>
      <c r="D139" s="2" t="s">
        <v>18</v>
      </c>
    </row>
    <row r="140">
      <c r="A140" s="17" t="s">
        <v>173</v>
      </c>
      <c r="B140" s="17" t="s">
        <v>172</v>
      </c>
      <c r="C140" s="30">
        <v>1.0</v>
      </c>
      <c r="D140" s="2" t="s">
        <v>18</v>
      </c>
    </row>
    <row r="141">
      <c r="A141" s="17" t="s">
        <v>172</v>
      </c>
      <c r="B141" s="17" t="s">
        <v>171</v>
      </c>
      <c r="C141" s="30">
        <v>1.0</v>
      </c>
      <c r="D141" s="2" t="s">
        <v>18</v>
      </c>
    </row>
    <row r="142">
      <c r="A142" s="17" t="s">
        <v>171</v>
      </c>
      <c r="B142" s="17" t="s">
        <v>170</v>
      </c>
      <c r="C142" s="30">
        <v>1.0</v>
      </c>
      <c r="D142" s="2" t="s">
        <v>18</v>
      </c>
    </row>
    <row r="143">
      <c r="A143" s="17" t="s">
        <v>170</v>
      </c>
      <c r="B143" s="17" t="s">
        <v>169</v>
      </c>
      <c r="C143" s="30">
        <v>1.0</v>
      </c>
      <c r="D143" s="2" t="s">
        <v>18</v>
      </c>
    </row>
    <row r="144">
      <c r="A144" s="17" t="s">
        <v>169</v>
      </c>
      <c r="B144" s="17" t="s">
        <v>168</v>
      </c>
      <c r="C144" s="30">
        <v>1.0</v>
      </c>
      <c r="D144" s="2" t="s">
        <v>18</v>
      </c>
    </row>
    <row r="145">
      <c r="A145" s="17" t="s">
        <v>168</v>
      </c>
      <c r="B145" s="17" t="s">
        <v>167</v>
      </c>
      <c r="C145" s="30">
        <v>1.0</v>
      </c>
      <c r="D145" s="2" t="s">
        <v>18</v>
      </c>
    </row>
    <row r="146">
      <c r="A146" s="17" t="s">
        <v>167</v>
      </c>
      <c r="B146" s="17" t="s">
        <v>166</v>
      </c>
      <c r="C146" s="30">
        <v>1.0</v>
      </c>
      <c r="D146" s="2" t="s">
        <v>18</v>
      </c>
    </row>
    <row r="147">
      <c r="A147" s="17" t="s">
        <v>166</v>
      </c>
      <c r="B147" s="17" t="s">
        <v>165</v>
      </c>
      <c r="C147" s="30">
        <v>2.0</v>
      </c>
      <c r="D147" s="2" t="s">
        <v>18</v>
      </c>
    </row>
    <row r="148">
      <c r="A148" s="17" t="s">
        <v>165</v>
      </c>
      <c r="B148" s="17" t="s">
        <v>503</v>
      </c>
      <c r="C148" s="30">
        <v>1.0</v>
      </c>
      <c r="D148" s="2" t="s">
        <v>18</v>
      </c>
    </row>
    <row r="149">
      <c r="A149" s="17" t="s">
        <v>503</v>
      </c>
      <c r="B149" s="17" t="s">
        <v>506</v>
      </c>
      <c r="C149" s="30">
        <v>1.0</v>
      </c>
      <c r="D149" s="2" t="s">
        <v>18</v>
      </c>
    </row>
    <row r="150">
      <c r="A150" s="17" t="s">
        <v>506</v>
      </c>
      <c r="B150" s="17" t="s">
        <v>501</v>
      </c>
      <c r="C150" s="30">
        <v>1.0</v>
      </c>
      <c r="D150" s="2" t="s">
        <v>18</v>
      </c>
    </row>
    <row r="151">
      <c r="A151" s="17" t="s">
        <v>501</v>
      </c>
      <c r="B151" s="17" t="s">
        <v>507</v>
      </c>
      <c r="C151" s="30">
        <v>1.0</v>
      </c>
      <c r="D151" s="2" t="s">
        <v>18</v>
      </c>
    </row>
    <row r="152">
      <c r="A152" s="17" t="s">
        <v>507</v>
      </c>
      <c r="B152" s="17" t="s">
        <v>204</v>
      </c>
      <c r="C152" s="30">
        <v>1.0</v>
      </c>
      <c r="D152" s="2" t="s">
        <v>18</v>
      </c>
    </row>
    <row r="153">
      <c r="A153" s="17" t="s">
        <v>204</v>
      </c>
      <c r="B153" s="17" t="s">
        <v>205</v>
      </c>
      <c r="C153" s="30">
        <v>1.0</v>
      </c>
      <c r="D153" s="2" t="s">
        <v>18</v>
      </c>
    </row>
    <row r="154">
      <c r="A154" s="17" t="s">
        <v>205</v>
      </c>
      <c r="B154" s="17" t="s">
        <v>304</v>
      </c>
      <c r="C154" s="30">
        <v>1.0</v>
      </c>
      <c r="D154" s="2" t="s">
        <v>18</v>
      </c>
    </row>
    <row r="155">
      <c r="A155" s="17" t="s">
        <v>304</v>
      </c>
      <c r="B155" s="17" t="s">
        <v>207</v>
      </c>
      <c r="C155" s="30">
        <v>1.0</v>
      </c>
      <c r="D155" s="2" t="s">
        <v>18</v>
      </c>
    </row>
    <row r="156">
      <c r="A156" s="17" t="s">
        <v>207</v>
      </c>
      <c r="B156" s="17" t="s">
        <v>208</v>
      </c>
      <c r="C156" s="30">
        <v>1.0</v>
      </c>
      <c r="D156" s="2" t="s">
        <v>18</v>
      </c>
    </row>
    <row r="157">
      <c r="A157" s="17" t="s">
        <v>183</v>
      </c>
      <c r="B157" s="17" t="s">
        <v>182</v>
      </c>
      <c r="C157" s="30">
        <v>4.0</v>
      </c>
      <c r="D157" s="2" t="s">
        <v>21</v>
      </c>
    </row>
    <row r="158">
      <c r="A158" s="17" t="s">
        <v>182</v>
      </c>
      <c r="B158" s="17" t="s">
        <v>493</v>
      </c>
      <c r="C158" s="30">
        <v>2.0</v>
      </c>
      <c r="D158" s="2" t="s">
        <v>21</v>
      </c>
    </row>
    <row r="159">
      <c r="A159" s="17" t="s">
        <v>493</v>
      </c>
      <c r="B159" s="17" t="s">
        <v>185</v>
      </c>
      <c r="C159" s="30">
        <v>1.0</v>
      </c>
      <c r="D159" s="2" t="s">
        <v>21</v>
      </c>
    </row>
    <row r="160">
      <c r="A160" s="17" t="s">
        <v>185</v>
      </c>
      <c r="B160" s="17" t="s">
        <v>186</v>
      </c>
      <c r="C160" s="30">
        <v>1.0</v>
      </c>
      <c r="D160" s="2" t="s">
        <v>21</v>
      </c>
    </row>
    <row r="161">
      <c r="A161" s="17" t="s">
        <v>186</v>
      </c>
      <c r="B161" s="17" t="s">
        <v>305</v>
      </c>
      <c r="C161" s="30">
        <v>2.0</v>
      </c>
      <c r="D161" s="2" t="s">
        <v>21</v>
      </c>
    </row>
    <row r="162">
      <c r="A162" s="17" t="s">
        <v>305</v>
      </c>
      <c r="B162" s="17" t="s">
        <v>306</v>
      </c>
      <c r="C162" s="30">
        <v>1.0</v>
      </c>
      <c r="D162" s="2" t="s">
        <v>21</v>
      </c>
    </row>
    <row r="163">
      <c r="A163" s="17" t="s">
        <v>306</v>
      </c>
      <c r="B163" s="17" t="s">
        <v>307</v>
      </c>
      <c r="C163" s="30">
        <v>1.0</v>
      </c>
      <c r="D163" s="2" t="s">
        <v>21</v>
      </c>
    </row>
    <row r="164">
      <c r="A164" s="17" t="s">
        <v>307</v>
      </c>
      <c r="B164" s="17" t="s">
        <v>308</v>
      </c>
      <c r="C164" s="30">
        <v>1.0</v>
      </c>
      <c r="D164" s="2" t="s">
        <v>21</v>
      </c>
    </row>
    <row r="165">
      <c r="A165" s="17" t="s">
        <v>308</v>
      </c>
      <c r="B165" s="17" t="s">
        <v>309</v>
      </c>
      <c r="C165" s="30">
        <v>1.0</v>
      </c>
      <c r="D165" s="2" t="s">
        <v>21</v>
      </c>
    </row>
    <row r="166">
      <c r="A166" s="17" t="s">
        <v>309</v>
      </c>
      <c r="B166" s="17" t="s">
        <v>310</v>
      </c>
      <c r="C166" s="30">
        <v>1.0</v>
      </c>
      <c r="D166" s="2" t="s">
        <v>21</v>
      </c>
    </row>
    <row r="167">
      <c r="A167" s="17" t="s">
        <v>310</v>
      </c>
      <c r="B167" s="17" t="s">
        <v>311</v>
      </c>
      <c r="C167" s="30">
        <v>1.0</v>
      </c>
      <c r="D167" s="2" t="s">
        <v>21</v>
      </c>
    </row>
    <row r="168">
      <c r="A168" s="17" t="s">
        <v>311</v>
      </c>
      <c r="B168" s="17" t="s">
        <v>312</v>
      </c>
      <c r="C168" s="30">
        <v>1.0</v>
      </c>
      <c r="D168" s="2" t="s">
        <v>21</v>
      </c>
    </row>
    <row r="169">
      <c r="A169" s="17" t="s">
        <v>312</v>
      </c>
      <c r="B169" s="17" t="s">
        <v>313</v>
      </c>
      <c r="C169" s="30">
        <v>1.0</v>
      </c>
      <c r="D169" s="2" t="s">
        <v>21</v>
      </c>
    </row>
    <row r="170">
      <c r="A170" s="17" t="s">
        <v>313</v>
      </c>
      <c r="B170" s="17" t="s">
        <v>314</v>
      </c>
      <c r="C170" s="30">
        <v>1.0</v>
      </c>
      <c r="D170" s="2" t="s">
        <v>21</v>
      </c>
    </row>
    <row r="171">
      <c r="A171" s="17" t="s">
        <v>314</v>
      </c>
      <c r="B171" s="17" t="s">
        <v>315</v>
      </c>
      <c r="C171" s="30">
        <v>1.0</v>
      </c>
      <c r="D171" s="2" t="s">
        <v>21</v>
      </c>
    </row>
    <row r="172">
      <c r="A172" s="17" t="s">
        <v>315</v>
      </c>
      <c r="B172" s="17" t="s">
        <v>316</v>
      </c>
      <c r="C172" s="30">
        <v>1.0</v>
      </c>
      <c r="D172" s="2" t="s">
        <v>21</v>
      </c>
    </row>
    <row r="173">
      <c r="A173" s="17" t="s">
        <v>316</v>
      </c>
      <c r="B173" s="17" t="s">
        <v>317</v>
      </c>
      <c r="C173" s="30">
        <v>1.0</v>
      </c>
      <c r="D173" s="2" t="s">
        <v>21</v>
      </c>
    </row>
    <row r="174">
      <c r="A174" s="17" t="s">
        <v>317</v>
      </c>
      <c r="B174" s="17" t="s">
        <v>318</v>
      </c>
      <c r="C174" s="30">
        <v>2.0</v>
      </c>
      <c r="D174" s="2" t="s">
        <v>21</v>
      </c>
    </row>
    <row r="175">
      <c r="A175" s="17" t="s">
        <v>318</v>
      </c>
      <c r="B175" s="17" t="s">
        <v>319</v>
      </c>
      <c r="C175" s="30">
        <v>1.0</v>
      </c>
      <c r="D175" s="2" t="s">
        <v>21</v>
      </c>
    </row>
    <row r="176">
      <c r="A176" s="17" t="s">
        <v>319</v>
      </c>
      <c r="B176" s="17" t="s">
        <v>320</v>
      </c>
      <c r="C176" s="30">
        <v>1.0</v>
      </c>
      <c r="D176" s="2" t="s">
        <v>21</v>
      </c>
    </row>
    <row r="177">
      <c r="A177" s="17" t="s">
        <v>320</v>
      </c>
      <c r="B177" s="17" t="s">
        <v>321</v>
      </c>
      <c r="C177" s="30">
        <v>1.0</v>
      </c>
      <c r="D177" s="2" t="s">
        <v>21</v>
      </c>
    </row>
    <row r="178">
      <c r="A178" s="17" t="s">
        <v>321</v>
      </c>
      <c r="B178" s="17" t="s">
        <v>508</v>
      </c>
      <c r="C178" s="30">
        <v>2.0</v>
      </c>
      <c r="D178" s="2" t="s">
        <v>21</v>
      </c>
    </row>
    <row r="179">
      <c r="A179" s="17" t="s">
        <v>322</v>
      </c>
      <c r="B179" s="17" t="s">
        <v>210</v>
      </c>
      <c r="C179" s="30">
        <v>2.0</v>
      </c>
      <c r="D179" s="2" t="s">
        <v>21</v>
      </c>
    </row>
    <row r="180">
      <c r="A180" s="17" t="s">
        <v>210</v>
      </c>
      <c r="B180" s="17" t="s">
        <v>323</v>
      </c>
      <c r="C180" s="30">
        <v>2.0</v>
      </c>
      <c r="D180" s="2" t="s">
        <v>21</v>
      </c>
    </row>
    <row r="181">
      <c r="A181" s="17" t="s">
        <v>323</v>
      </c>
      <c r="B181" s="17" t="s">
        <v>324</v>
      </c>
      <c r="C181" s="30">
        <v>2.0</v>
      </c>
      <c r="D181" s="2" t="s">
        <v>21</v>
      </c>
    </row>
    <row r="182">
      <c r="A182" s="17" t="s">
        <v>324</v>
      </c>
      <c r="B182" s="17" t="s">
        <v>325</v>
      </c>
      <c r="C182" s="30">
        <v>2.0</v>
      </c>
      <c r="D182" s="2" t="s">
        <v>21</v>
      </c>
    </row>
    <row r="183">
      <c r="A183" s="17" t="s">
        <v>325</v>
      </c>
      <c r="B183" s="17" t="s">
        <v>326</v>
      </c>
      <c r="C183" s="30">
        <v>1.0</v>
      </c>
      <c r="D183" s="2" t="s">
        <v>21</v>
      </c>
    </row>
    <row r="184">
      <c r="A184" s="17" t="s">
        <v>326</v>
      </c>
      <c r="B184" s="17" t="s">
        <v>509</v>
      </c>
      <c r="C184" s="30">
        <v>4.0</v>
      </c>
      <c r="D184" s="2" t="s">
        <v>21</v>
      </c>
    </row>
    <row r="185">
      <c r="A185" s="17" t="s">
        <v>509</v>
      </c>
      <c r="B185" s="17" t="s">
        <v>211</v>
      </c>
      <c r="C185" s="30">
        <v>1.0</v>
      </c>
      <c r="D185" s="2" t="s">
        <v>21</v>
      </c>
    </row>
    <row r="186">
      <c r="A186" s="15" t="s">
        <v>211</v>
      </c>
      <c r="B186" s="15" t="s">
        <v>327</v>
      </c>
      <c r="C186" s="30">
        <v>2.0</v>
      </c>
      <c r="D186" s="2" t="s">
        <v>21</v>
      </c>
    </row>
    <row r="187">
      <c r="A187" s="15" t="s">
        <v>327</v>
      </c>
      <c r="B187" s="15" t="s">
        <v>328</v>
      </c>
      <c r="C187" s="30">
        <v>1.0</v>
      </c>
      <c r="D187" s="2" t="s">
        <v>21</v>
      </c>
    </row>
    <row r="188">
      <c r="A188" s="15" t="s">
        <v>328</v>
      </c>
      <c r="B188" s="15" t="s">
        <v>329</v>
      </c>
      <c r="C188" s="30">
        <v>1.0</v>
      </c>
      <c r="D188" s="2" t="s">
        <v>21</v>
      </c>
    </row>
    <row r="189">
      <c r="A189" s="15" t="s">
        <v>329</v>
      </c>
      <c r="B189" s="15" t="s">
        <v>330</v>
      </c>
      <c r="C189" s="30">
        <v>1.0</v>
      </c>
      <c r="D189" s="2" t="s">
        <v>21</v>
      </c>
    </row>
    <row r="190">
      <c r="A190" s="15" t="s">
        <v>330</v>
      </c>
      <c r="B190" s="15" t="s">
        <v>331</v>
      </c>
      <c r="C190" s="30">
        <v>2.0</v>
      </c>
      <c r="D190" s="2" t="s">
        <v>21</v>
      </c>
    </row>
    <row r="191">
      <c r="A191" s="15" t="s">
        <v>331</v>
      </c>
      <c r="B191" s="23" t="s">
        <v>165</v>
      </c>
      <c r="C191" s="30">
        <v>2.0</v>
      </c>
      <c r="D191" s="2" t="s">
        <v>21</v>
      </c>
    </row>
    <row r="192">
      <c r="A192" s="23" t="s">
        <v>165</v>
      </c>
      <c r="B192" s="23" t="s">
        <v>503</v>
      </c>
      <c r="C192" s="30">
        <v>1.0</v>
      </c>
      <c r="D192" s="2" t="s">
        <v>21</v>
      </c>
    </row>
    <row r="193">
      <c r="A193" s="23" t="s">
        <v>503</v>
      </c>
      <c r="B193" s="23" t="s">
        <v>502</v>
      </c>
      <c r="C193" s="30">
        <v>1.0</v>
      </c>
      <c r="D193" s="2" t="s">
        <v>21</v>
      </c>
    </row>
    <row r="194">
      <c r="A194" s="23" t="s">
        <v>502</v>
      </c>
      <c r="B194" s="23" t="s">
        <v>501</v>
      </c>
      <c r="C194" s="30">
        <v>1.0</v>
      </c>
      <c r="D194" s="2" t="s">
        <v>21</v>
      </c>
    </row>
    <row r="195">
      <c r="A195" s="23" t="s">
        <v>501</v>
      </c>
      <c r="B195" s="23" t="s">
        <v>510</v>
      </c>
      <c r="C195" s="30">
        <v>1.0</v>
      </c>
      <c r="D195" s="2" t="s">
        <v>21</v>
      </c>
    </row>
    <row r="196">
      <c r="A196" s="23" t="s">
        <v>510</v>
      </c>
      <c r="B196" s="23" t="s">
        <v>204</v>
      </c>
      <c r="C196" s="30">
        <v>1.0</v>
      </c>
      <c r="D196" s="2" t="s">
        <v>21</v>
      </c>
    </row>
    <row r="197">
      <c r="A197" s="23" t="s">
        <v>204</v>
      </c>
      <c r="B197" s="15" t="s">
        <v>332</v>
      </c>
      <c r="C197" s="30">
        <v>1.0</v>
      </c>
      <c r="D197" s="2" t="s">
        <v>21</v>
      </c>
    </row>
    <row r="198">
      <c r="A198" s="15" t="s">
        <v>332</v>
      </c>
      <c r="B198" s="15" t="s">
        <v>511</v>
      </c>
      <c r="C198" s="30">
        <v>1.0</v>
      </c>
      <c r="D198" s="2" t="s">
        <v>21</v>
      </c>
    </row>
    <row r="199">
      <c r="A199" s="15" t="s">
        <v>511</v>
      </c>
      <c r="B199" s="15" t="s">
        <v>333</v>
      </c>
      <c r="C199" s="30">
        <v>1.0</v>
      </c>
      <c r="D199" s="2" t="s">
        <v>21</v>
      </c>
    </row>
    <row r="200">
      <c r="A200" s="15" t="s">
        <v>333</v>
      </c>
      <c r="B200" s="15" t="s">
        <v>334</v>
      </c>
      <c r="C200" s="30">
        <v>2.0</v>
      </c>
      <c r="D200" s="2" t="s">
        <v>21</v>
      </c>
    </row>
    <row r="201">
      <c r="A201" s="15" t="s">
        <v>334</v>
      </c>
      <c r="B201" s="15" t="s">
        <v>335</v>
      </c>
      <c r="C201" s="30">
        <v>1.0</v>
      </c>
      <c r="D201" s="2" t="s">
        <v>21</v>
      </c>
    </row>
    <row r="202">
      <c r="A202" s="15" t="s">
        <v>335</v>
      </c>
      <c r="B202" s="15" t="s">
        <v>336</v>
      </c>
      <c r="C202" s="30">
        <v>1.0</v>
      </c>
      <c r="D202" s="2" t="s">
        <v>21</v>
      </c>
    </row>
    <row r="203">
      <c r="A203" s="15" t="s">
        <v>336</v>
      </c>
      <c r="B203" s="15" t="s">
        <v>337</v>
      </c>
      <c r="C203" s="30">
        <v>2.0</v>
      </c>
      <c r="D203" s="2" t="s">
        <v>21</v>
      </c>
    </row>
    <row r="204">
      <c r="A204" s="15" t="s">
        <v>337</v>
      </c>
      <c r="B204" s="23" t="s">
        <v>512</v>
      </c>
      <c r="C204" s="30">
        <v>1.0</v>
      </c>
      <c r="D204" s="2" t="s">
        <v>21</v>
      </c>
    </row>
    <row r="205">
      <c r="A205" s="23" t="s">
        <v>512</v>
      </c>
      <c r="B205" s="23" t="s">
        <v>26</v>
      </c>
      <c r="C205" s="30">
        <v>1.0</v>
      </c>
      <c r="D205" s="2" t="s">
        <v>21</v>
      </c>
    </row>
    <row r="206">
      <c r="A206" s="23" t="s">
        <v>26</v>
      </c>
      <c r="B206" s="13" t="s">
        <v>513</v>
      </c>
      <c r="C206" s="30">
        <v>2.0</v>
      </c>
      <c r="D206" s="2" t="s">
        <v>21</v>
      </c>
    </row>
    <row r="207">
      <c r="A207" s="17" t="s">
        <v>183</v>
      </c>
      <c r="B207" s="17" t="s">
        <v>182</v>
      </c>
      <c r="C207" s="30">
        <v>3.0</v>
      </c>
      <c r="D207" s="2" t="s">
        <v>28</v>
      </c>
    </row>
    <row r="208">
      <c r="A208" s="17" t="s">
        <v>182</v>
      </c>
      <c r="B208" s="17" t="s">
        <v>493</v>
      </c>
      <c r="C208" s="30">
        <v>2.0</v>
      </c>
      <c r="D208" s="2" t="s">
        <v>28</v>
      </c>
    </row>
    <row r="209">
      <c r="A209" s="17" t="s">
        <v>493</v>
      </c>
      <c r="B209" s="17" t="s">
        <v>185</v>
      </c>
      <c r="C209" s="30">
        <v>2.0</v>
      </c>
      <c r="D209" s="2" t="s">
        <v>28</v>
      </c>
    </row>
    <row r="210">
      <c r="A210" s="17" t="s">
        <v>185</v>
      </c>
      <c r="B210" s="17" t="s">
        <v>186</v>
      </c>
      <c r="C210" s="30">
        <v>1.0</v>
      </c>
      <c r="D210" s="2" t="s">
        <v>28</v>
      </c>
    </row>
    <row r="211">
      <c r="A211" s="17" t="s">
        <v>186</v>
      </c>
      <c r="B211" s="17" t="s">
        <v>187</v>
      </c>
      <c r="C211" s="30">
        <v>2.0</v>
      </c>
      <c r="D211" s="2" t="s">
        <v>28</v>
      </c>
    </row>
    <row r="212">
      <c r="A212" s="17" t="s">
        <v>187</v>
      </c>
      <c r="B212" s="17" t="s">
        <v>338</v>
      </c>
      <c r="C212" s="30">
        <v>2.0</v>
      </c>
      <c r="D212" s="2" t="s">
        <v>28</v>
      </c>
    </row>
    <row r="213">
      <c r="A213" s="17" t="s">
        <v>338</v>
      </c>
      <c r="B213" s="17" t="s">
        <v>339</v>
      </c>
      <c r="C213" s="30">
        <v>1.0</v>
      </c>
      <c r="D213" s="2" t="s">
        <v>28</v>
      </c>
    </row>
    <row r="214">
      <c r="A214" s="17" t="s">
        <v>339</v>
      </c>
      <c r="B214" s="17" t="s">
        <v>340</v>
      </c>
      <c r="C214" s="30">
        <v>1.0</v>
      </c>
      <c r="D214" s="2" t="s">
        <v>28</v>
      </c>
    </row>
    <row r="215">
      <c r="A215" s="17" t="s">
        <v>340</v>
      </c>
      <c r="B215" s="17" t="s">
        <v>341</v>
      </c>
      <c r="C215" s="30">
        <v>1.0</v>
      </c>
      <c r="D215" s="2" t="s">
        <v>28</v>
      </c>
    </row>
    <row r="216">
      <c r="A216" s="17" t="s">
        <v>341</v>
      </c>
      <c r="B216" s="17" t="s">
        <v>342</v>
      </c>
      <c r="C216" s="30">
        <v>1.0</v>
      </c>
      <c r="D216" s="2" t="s">
        <v>28</v>
      </c>
    </row>
    <row r="217">
      <c r="A217" s="17" t="s">
        <v>342</v>
      </c>
      <c r="B217" s="17" t="s">
        <v>343</v>
      </c>
      <c r="C217" s="30">
        <v>1.0</v>
      </c>
      <c r="D217" s="2" t="s">
        <v>28</v>
      </c>
    </row>
    <row r="218">
      <c r="A218" s="17" t="s">
        <v>343</v>
      </c>
      <c r="B218" s="17" t="s">
        <v>344</v>
      </c>
      <c r="C218" s="30">
        <v>1.0</v>
      </c>
      <c r="D218" s="2" t="s">
        <v>28</v>
      </c>
    </row>
    <row r="219">
      <c r="A219" s="17" t="s">
        <v>344</v>
      </c>
      <c r="B219" s="17" t="s">
        <v>345</v>
      </c>
      <c r="C219" s="30">
        <v>2.0</v>
      </c>
      <c r="D219" s="2" t="s">
        <v>28</v>
      </c>
    </row>
    <row r="220">
      <c r="A220" s="17" t="s">
        <v>345</v>
      </c>
      <c r="B220" s="17" t="s">
        <v>346</v>
      </c>
      <c r="C220" s="30">
        <v>3.0</v>
      </c>
      <c r="D220" s="2" t="s">
        <v>28</v>
      </c>
    </row>
    <row r="221">
      <c r="A221" s="17" t="s">
        <v>346</v>
      </c>
      <c r="B221" s="17" t="s">
        <v>347</v>
      </c>
      <c r="C221" s="30">
        <v>2.0</v>
      </c>
      <c r="D221" s="2" t="s">
        <v>28</v>
      </c>
    </row>
    <row r="222">
      <c r="A222" s="17" t="s">
        <v>347</v>
      </c>
      <c r="B222" s="17" t="s">
        <v>348</v>
      </c>
      <c r="C222" s="30">
        <v>4.0</v>
      </c>
      <c r="D222" s="2" t="s">
        <v>28</v>
      </c>
    </row>
    <row r="223">
      <c r="A223" s="17" t="s">
        <v>348</v>
      </c>
      <c r="B223" s="17" t="s">
        <v>349</v>
      </c>
      <c r="C223" s="30">
        <v>2.0</v>
      </c>
      <c r="D223" s="2" t="s">
        <v>28</v>
      </c>
    </row>
    <row r="224">
      <c r="A224" s="17" t="s">
        <v>349</v>
      </c>
      <c r="B224" s="17" t="s">
        <v>350</v>
      </c>
      <c r="C224" s="30">
        <v>2.0</v>
      </c>
      <c r="D224" s="2" t="s">
        <v>28</v>
      </c>
    </row>
    <row r="225">
      <c r="A225" s="17" t="s">
        <v>350</v>
      </c>
      <c r="B225" s="17" t="s">
        <v>351</v>
      </c>
      <c r="C225" s="30">
        <v>3.0</v>
      </c>
      <c r="D225" s="2" t="s">
        <v>28</v>
      </c>
    </row>
    <row r="226">
      <c r="A226" s="17" t="s">
        <v>351</v>
      </c>
      <c r="B226" s="17" t="s">
        <v>352</v>
      </c>
      <c r="C226" s="30">
        <v>2.0</v>
      </c>
      <c r="D226" s="2" t="s">
        <v>28</v>
      </c>
    </row>
    <row r="227">
      <c r="A227" s="17" t="s">
        <v>352</v>
      </c>
      <c r="B227" s="17" t="s">
        <v>209</v>
      </c>
      <c r="C227" s="30">
        <v>2.0</v>
      </c>
      <c r="D227" s="2" t="s">
        <v>28</v>
      </c>
    </row>
    <row r="228">
      <c r="A228" s="17" t="s">
        <v>209</v>
      </c>
      <c r="B228" s="17" t="s">
        <v>210</v>
      </c>
      <c r="C228" s="30">
        <v>2.0</v>
      </c>
      <c r="D228" s="2" t="s">
        <v>28</v>
      </c>
    </row>
    <row r="229">
      <c r="A229" s="17" t="s">
        <v>210</v>
      </c>
      <c r="B229" s="17" t="s">
        <v>191</v>
      </c>
      <c r="C229" s="30">
        <v>2.0</v>
      </c>
      <c r="D229" s="2" t="s">
        <v>28</v>
      </c>
    </row>
    <row r="230">
      <c r="A230" s="17" t="s">
        <v>191</v>
      </c>
      <c r="B230" s="17" t="s">
        <v>192</v>
      </c>
      <c r="C230" s="30">
        <v>1.0</v>
      </c>
      <c r="D230" s="2" t="s">
        <v>28</v>
      </c>
    </row>
    <row r="231">
      <c r="A231" s="17" t="s">
        <v>192</v>
      </c>
      <c r="B231" s="17" t="s">
        <v>180</v>
      </c>
      <c r="C231" s="30">
        <v>2.0</v>
      </c>
      <c r="D231" s="2" t="s">
        <v>28</v>
      </c>
    </row>
    <row r="232">
      <c r="A232" s="17" t="s">
        <v>180</v>
      </c>
      <c r="B232" s="17" t="s">
        <v>179</v>
      </c>
      <c r="C232" s="30">
        <v>2.0</v>
      </c>
      <c r="D232" s="2" t="s">
        <v>28</v>
      </c>
    </row>
    <row r="233">
      <c r="A233" s="17" t="s">
        <v>179</v>
      </c>
      <c r="B233" s="17" t="s">
        <v>178</v>
      </c>
      <c r="C233" s="30">
        <v>1.0</v>
      </c>
      <c r="D233" s="2" t="s">
        <v>28</v>
      </c>
    </row>
    <row r="234">
      <c r="A234" s="17" t="s">
        <v>178</v>
      </c>
      <c r="B234" s="17" t="s">
        <v>353</v>
      </c>
      <c r="C234" s="30">
        <v>1.0</v>
      </c>
      <c r="D234" s="2" t="s">
        <v>28</v>
      </c>
    </row>
    <row r="235">
      <c r="A235" s="17" t="s">
        <v>353</v>
      </c>
      <c r="B235" s="17" t="s">
        <v>177</v>
      </c>
      <c r="C235" s="30">
        <v>1.0</v>
      </c>
      <c r="D235" s="2" t="s">
        <v>28</v>
      </c>
    </row>
    <row r="236">
      <c r="A236" s="17" t="s">
        <v>177</v>
      </c>
      <c r="B236" s="17" t="s">
        <v>176</v>
      </c>
      <c r="C236" s="30">
        <v>1.0</v>
      </c>
      <c r="D236" s="2" t="s">
        <v>28</v>
      </c>
    </row>
    <row r="237">
      <c r="A237" s="17" t="s">
        <v>176</v>
      </c>
      <c r="B237" s="17" t="s">
        <v>175</v>
      </c>
      <c r="C237" s="30">
        <v>1.0</v>
      </c>
      <c r="D237" s="2" t="s">
        <v>28</v>
      </c>
    </row>
    <row r="238">
      <c r="A238" s="17" t="s">
        <v>175</v>
      </c>
      <c r="B238" s="17" t="s">
        <v>203</v>
      </c>
      <c r="C238" s="30">
        <v>3.0</v>
      </c>
      <c r="D238" s="2" t="s">
        <v>28</v>
      </c>
    </row>
    <row r="239">
      <c r="A239" s="17" t="s">
        <v>203</v>
      </c>
      <c r="B239" s="17" t="s">
        <v>202</v>
      </c>
      <c r="C239" s="30">
        <v>1.0</v>
      </c>
      <c r="D239" s="2" t="s">
        <v>28</v>
      </c>
    </row>
    <row r="240">
      <c r="A240" s="17" t="s">
        <v>202</v>
      </c>
      <c r="B240" s="17" t="s">
        <v>201</v>
      </c>
      <c r="C240" s="30">
        <v>3.0</v>
      </c>
      <c r="D240" s="2" t="s">
        <v>28</v>
      </c>
    </row>
    <row r="241">
      <c r="A241" s="17" t="s">
        <v>201</v>
      </c>
      <c r="B241" s="17" t="s">
        <v>514</v>
      </c>
      <c r="C241" s="30">
        <v>2.0</v>
      </c>
      <c r="D241" s="2" t="s">
        <v>28</v>
      </c>
    </row>
    <row r="242">
      <c r="A242" s="17" t="s">
        <v>514</v>
      </c>
      <c r="B242" s="17" t="s">
        <v>213</v>
      </c>
      <c r="C242" s="30">
        <v>2.0</v>
      </c>
      <c r="D242" s="2" t="s">
        <v>28</v>
      </c>
    </row>
    <row r="243">
      <c r="A243" s="17" t="s">
        <v>213</v>
      </c>
      <c r="B243" s="17" t="s">
        <v>214</v>
      </c>
      <c r="C243" s="30">
        <v>1.0</v>
      </c>
      <c r="D243" s="2" t="s">
        <v>28</v>
      </c>
    </row>
    <row r="244">
      <c r="A244" s="17" t="s">
        <v>214</v>
      </c>
      <c r="B244" s="17" t="s">
        <v>215</v>
      </c>
      <c r="C244" s="30">
        <v>2.0</v>
      </c>
      <c r="D244" s="2" t="s">
        <v>28</v>
      </c>
    </row>
    <row r="245">
      <c r="A245" s="17" t="s">
        <v>215</v>
      </c>
      <c r="B245" s="17" t="s">
        <v>216</v>
      </c>
      <c r="C245" s="30">
        <v>2.0</v>
      </c>
      <c r="D245" s="2" t="s">
        <v>28</v>
      </c>
    </row>
    <row r="246">
      <c r="A246" s="17" t="s">
        <v>216</v>
      </c>
      <c r="B246" s="17" t="s">
        <v>355</v>
      </c>
      <c r="C246" s="30">
        <v>2.0</v>
      </c>
      <c r="D246" s="2" t="s">
        <v>28</v>
      </c>
    </row>
    <row r="247">
      <c r="A247" s="17" t="s">
        <v>355</v>
      </c>
      <c r="B247" s="17" t="s">
        <v>217</v>
      </c>
      <c r="C247" s="30">
        <v>2.0</v>
      </c>
      <c r="D247" s="2" t="s">
        <v>28</v>
      </c>
    </row>
    <row r="248">
      <c r="A248" s="17" t="s">
        <v>217</v>
      </c>
      <c r="B248" s="17" t="s">
        <v>356</v>
      </c>
      <c r="C248" s="30">
        <v>2.0</v>
      </c>
      <c r="D248" s="2" t="s">
        <v>28</v>
      </c>
    </row>
    <row r="249">
      <c r="A249" s="17" t="s">
        <v>356</v>
      </c>
      <c r="B249" s="17" t="s">
        <v>357</v>
      </c>
      <c r="C249" s="30">
        <v>1.0</v>
      </c>
      <c r="D249" s="2" t="s">
        <v>28</v>
      </c>
    </row>
    <row r="250">
      <c r="A250" s="17" t="s">
        <v>357</v>
      </c>
      <c r="B250" s="17" t="s">
        <v>358</v>
      </c>
      <c r="C250" s="30">
        <v>1.0</v>
      </c>
      <c r="D250" s="2" t="s">
        <v>28</v>
      </c>
    </row>
    <row r="251">
      <c r="A251" s="17" t="s">
        <v>358</v>
      </c>
      <c r="B251" s="17" t="s">
        <v>359</v>
      </c>
      <c r="C251" s="30">
        <v>1.0</v>
      </c>
      <c r="D251" s="2" t="s">
        <v>28</v>
      </c>
    </row>
    <row r="252">
      <c r="A252" s="17" t="s">
        <v>359</v>
      </c>
      <c r="B252" s="17" t="s">
        <v>360</v>
      </c>
      <c r="C252" s="30">
        <v>1.0</v>
      </c>
      <c r="D252" s="2" t="s">
        <v>28</v>
      </c>
    </row>
    <row r="253">
      <c r="A253" s="17" t="s">
        <v>360</v>
      </c>
      <c r="B253" s="17" t="s">
        <v>361</v>
      </c>
      <c r="C253" s="30">
        <v>1.0</v>
      </c>
      <c r="D253" s="2" t="s">
        <v>28</v>
      </c>
    </row>
    <row r="254">
      <c r="A254" s="17" t="s">
        <v>361</v>
      </c>
      <c r="B254" s="17" t="s">
        <v>362</v>
      </c>
      <c r="C254" s="30">
        <v>1.0</v>
      </c>
      <c r="D254" s="2" t="s">
        <v>28</v>
      </c>
    </row>
    <row r="255">
      <c r="A255" s="17" t="s">
        <v>362</v>
      </c>
      <c r="B255" s="17" t="s">
        <v>363</v>
      </c>
      <c r="C255" s="30">
        <v>1.0</v>
      </c>
      <c r="D255" s="2" t="s">
        <v>28</v>
      </c>
    </row>
    <row r="256">
      <c r="A256" s="17" t="s">
        <v>363</v>
      </c>
      <c r="B256" s="17" t="s">
        <v>364</v>
      </c>
      <c r="C256" s="30">
        <v>1.0</v>
      </c>
      <c r="D256" s="2" t="s">
        <v>28</v>
      </c>
    </row>
    <row r="257">
      <c r="A257" s="17" t="s">
        <v>364</v>
      </c>
      <c r="B257" s="17" t="s">
        <v>365</v>
      </c>
      <c r="C257" s="30">
        <v>1.0</v>
      </c>
      <c r="D257" s="2" t="s">
        <v>28</v>
      </c>
    </row>
    <row r="258">
      <c r="A258" s="17" t="s">
        <v>365</v>
      </c>
      <c r="B258" s="17" t="s">
        <v>366</v>
      </c>
      <c r="C258" s="30">
        <v>1.0</v>
      </c>
      <c r="D258" s="2" t="s">
        <v>28</v>
      </c>
    </row>
    <row r="259">
      <c r="A259" s="17" t="s">
        <v>366</v>
      </c>
      <c r="B259" s="17" t="s">
        <v>367</v>
      </c>
      <c r="C259" s="30">
        <v>3.0</v>
      </c>
      <c r="D259" s="2" t="s">
        <v>28</v>
      </c>
    </row>
    <row r="260">
      <c r="A260" s="17" t="s">
        <v>367</v>
      </c>
      <c r="B260" s="17" t="s">
        <v>368</v>
      </c>
      <c r="C260" s="30">
        <v>2.0</v>
      </c>
      <c r="D260" s="2" t="s">
        <v>28</v>
      </c>
    </row>
    <row r="261">
      <c r="A261" s="17" t="s">
        <v>368</v>
      </c>
      <c r="B261" s="17" t="s">
        <v>369</v>
      </c>
      <c r="C261" s="30">
        <v>2.0</v>
      </c>
      <c r="D261" s="2" t="s">
        <v>28</v>
      </c>
    </row>
    <row r="262">
      <c r="A262" s="17" t="s">
        <v>369</v>
      </c>
      <c r="B262" s="17" t="s">
        <v>370</v>
      </c>
      <c r="C262" s="30">
        <v>1.0</v>
      </c>
      <c r="D262" s="2" t="s">
        <v>28</v>
      </c>
    </row>
    <row r="263">
      <c r="A263" s="17" t="s">
        <v>370</v>
      </c>
      <c r="B263" s="17" t="s">
        <v>371</v>
      </c>
      <c r="C263" s="2">
        <v>1.0</v>
      </c>
      <c r="D263" s="2" t="s">
        <v>28</v>
      </c>
    </row>
    <row r="264">
      <c r="A264" s="17" t="s">
        <v>372</v>
      </c>
      <c r="B264" s="23" t="s">
        <v>373</v>
      </c>
      <c r="C264" s="33">
        <v>2.0</v>
      </c>
      <c r="D264" s="2" t="s">
        <v>33</v>
      </c>
    </row>
    <row r="265">
      <c r="A265" s="23" t="s">
        <v>373</v>
      </c>
      <c r="B265" s="23" t="s">
        <v>374</v>
      </c>
      <c r="C265" s="33">
        <v>2.0</v>
      </c>
      <c r="D265" s="2" t="s">
        <v>33</v>
      </c>
    </row>
    <row r="266">
      <c r="A266" s="23" t="s">
        <v>374</v>
      </c>
      <c r="B266" s="23" t="s">
        <v>375</v>
      </c>
      <c r="C266" s="33">
        <v>1.0</v>
      </c>
      <c r="D266" s="2" t="s">
        <v>33</v>
      </c>
    </row>
    <row r="267">
      <c r="A267" s="23" t="s">
        <v>375</v>
      </c>
      <c r="B267" s="23" t="s">
        <v>376</v>
      </c>
      <c r="C267" s="33">
        <v>1.0</v>
      </c>
      <c r="D267" s="2" t="s">
        <v>33</v>
      </c>
    </row>
    <row r="268">
      <c r="A268" s="23" t="s">
        <v>376</v>
      </c>
      <c r="B268" s="23" t="s">
        <v>377</v>
      </c>
      <c r="C268" s="33">
        <v>1.0</v>
      </c>
      <c r="D268" s="2" t="s">
        <v>33</v>
      </c>
    </row>
    <row r="269">
      <c r="A269" s="23" t="s">
        <v>377</v>
      </c>
      <c r="B269" s="23" t="s">
        <v>378</v>
      </c>
      <c r="C269" s="33">
        <v>1.0</v>
      </c>
      <c r="D269" s="2" t="s">
        <v>33</v>
      </c>
    </row>
    <row r="270">
      <c r="A270" s="23" t="s">
        <v>378</v>
      </c>
      <c r="B270" s="23" t="s">
        <v>379</v>
      </c>
      <c r="C270" s="33">
        <v>1.0</v>
      </c>
      <c r="D270" s="2" t="s">
        <v>33</v>
      </c>
    </row>
    <row r="271">
      <c r="A271" s="23" t="s">
        <v>379</v>
      </c>
      <c r="B271" s="23" t="s">
        <v>380</v>
      </c>
      <c r="C271" s="33">
        <v>2.0</v>
      </c>
      <c r="D271" s="2" t="s">
        <v>33</v>
      </c>
    </row>
    <row r="272">
      <c r="A272" s="23" t="s">
        <v>380</v>
      </c>
      <c r="B272" s="23" t="s">
        <v>381</v>
      </c>
      <c r="C272" s="33">
        <v>1.0</v>
      </c>
      <c r="D272" s="2" t="s">
        <v>33</v>
      </c>
    </row>
    <row r="273">
      <c r="A273" s="23" t="s">
        <v>381</v>
      </c>
      <c r="B273" s="23" t="s">
        <v>515</v>
      </c>
      <c r="C273" s="33">
        <v>1.0</v>
      </c>
      <c r="D273" s="2" t="s">
        <v>33</v>
      </c>
    </row>
    <row r="274">
      <c r="A274" s="23" t="s">
        <v>515</v>
      </c>
      <c r="B274" s="17" t="s">
        <v>383</v>
      </c>
      <c r="C274" s="33">
        <v>1.0</v>
      </c>
      <c r="D274" s="2" t="s">
        <v>33</v>
      </c>
    </row>
    <row r="275">
      <c r="A275" s="17" t="s">
        <v>383</v>
      </c>
      <c r="B275" s="17" t="s">
        <v>384</v>
      </c>
      <c r="C275" s="33">
        <v>1.0</v>
      </c>
      <c r="D275" s="2" t="s">
        <v>33</v>
      </c>
    </row>
    <row r="276">
      <c r="A276" s="17" t="s">
        <v>384</v>
      </c>
      <c r="B276" s="15" t="s">
        <v>220</v>
      </c>
      <c r="C276" s="34">
        <v>2.0</v>
      </c>
      <c r="D276" s="2" t="s">
        <v>33</v>
      </c>
    </row>
    <row r="277">
      <c r="A277" s="15" t="s">
        <v>220</v>
      </c>
      <c r="B277" s="15" t="s">
        <v>219</v>
      </c>
      <c r="C277" s="35">
        <v>1.0</v>
      </c>
      <c r="D277" s="2" t="s">
        <v>33</v>
      </c>
    </row>
    <row r="278">
      <c r="A278" s="15" t="s">
        <v>219</v>
      </c>
      <c r="B278" s="15" t="s">
        <v>385</v>
      </c>
      <c r="C278" s="35">
        <v>1.0</v>
      </c>
      <c r="D278" s="2" t="s">
        <v>33</v>
      </c>
    </row>
    <row r="279">
      <c r="A279" s="15" t="s">
        <v>385</v>
      </c>
      <c r="B279" s="15" t="s">
        <v>386</v>
      </c>
      <c r="C279" s="35">
        <v>1.0</v>
      </c>
      <c r="D279" s="2" t="s">
        <v>33</v>
      </c>
    </row>
    <row r="280">
      <c r="A280" s="15" t="s">
        <v>386</v>
      </c>
      <c r="B280" s="15" t="s">
        <v>387</v>
      </c>
      <c r="C280" s="35">
        <v>1.0</v>
      </c>
      <c r="D280" s="2" t="s">
        <v>33</v>
      </c>
    </row>
    <row r="281">
      <c r="A281" s="15" t="s">
        <v>387</v>
      </c>
      <c r="B281" s="15" t="s">
        <v>388</v>
      </c>
      <c r="C281" s="35">
        <v>1.0</v>
      </c>
      <c r="D281" s="2" t="s">
        <v>33</v>
      </c>
    </row>
    <row r="282">
      <c r="A282" s="15" t="s">
        <v>388</v>
      </c>
      <c r="B282" s="15" t="s">
        <v>389</v>
      </c>
      <c r="C282" s="34">
        <v>1.0</v>
      </c>
      <c r="D282" s="2" t="s">
        <v>33</v>
      </c>
    </row>
    <row r="283">
      <c r="A283" s="15" t="s">
        <v>389</v>
      </c>
      <c r="B283" s="15" t="s">
        <v>390</v>
      </c>
      <c r="C283" s="34">
        <v>1.0</v>
      </c>
      <c r="D283" s="2" t="s">
        <v>33</v>
      </c>
    </row>
    <row r="284">
      <c r="A284" s="15" t="s">
        <v>390</v>
      </c>
      <c r="B284" s="15" t="s">
        <v>391</v>
      </c>
      <c r="C284" s="35">
        <v>1.0</v>
      </c>
      <c r="D284" s="2" t="s">
        <v>33</v>
      </c>
    </row>
    <row r="285">
      <c r="A285" s="15" t="s">
        <v>391</v>
      </c>
      <c r="B285" s="15" t="s">
        <v>392</v>
      </c>
      <c r="C285" s="35">
        <v>1.0</v>
      </c>
      <c r="D285" s="2" t="s">
        <v>33</v>
      </c>
    </row>
    <row r="286">
      <c r="A286" s="15" t="s">
        <v>392</v>
      </c>
      <c r="B286" s="15" t="s">
        <v>393</v>
      </c>
      <c r="C286" s="35">
        <v>1.0</v>
      </c>
      <c r="D286" s="2" t="s">
        <v>33</v>
      </c>
    </row>
    <row r="287">
      <c r="A287" s="15" t="s">
        <v>393</v>
      </c>
      <c r="B287" s="15" t="s">
        <v>394</v>
      </c>
      <c r="C287" s="36">
        <v>2.0</v>
      </c>
      <c r="D287" s="2" t="s">
        <v>33</v>
      </c>
    </row>
    <row r="288">
      <c r="A288" s="15" t="s">
        <v>394</v>
      </c>
      <c r="B288" s="15" t="s">
        <v>395</v>
      </c>
      <c r="C288" s="36">
        <v>1.0</v>
      </c>
      <c r="D288" s="2" t="s">
        <v>33</v>
      </c>
    </row>
    <row r="289">
      <c r="A289" s="15" t="s">
        <v>395</v>
      </c>
      <c r="B289" s="15" t="s">
        <v>396</v>
      </c>
      <c r="C289" s="34">
        <v>2.0</v>
      </c>
      <c r="D289" s="2" t="s">
        <v>33</v>
      </c>
    </row>
    <row r="290">
      <c r="A290" s="15" t="s">
        <v>396</v>
      </c>
      <c r="B290" s="15" t="s">
        <v>397</v>
      </c>
      <c r="C290" s="34">
        <v>1.0</v>
      </c>
      <c r="D290" s="2" t="s">
        <v>33</v>
      </c>
    </row>
    <row r="291">
      <c r="A291" s="15" t="s">
        <v>397</v>
      </c>
      <c r="B291" s="13" t="s">
        <v>201</v>
      </c>
      <c r="C291" s="36">
        <v>1.0</v>
      </c>
      <c r="D291" s="2" t="s">
        <v>33</v>
      </c>
    </row>
    <row r="292">
      <c r="A292" s="23" t="s">
        <v>201</v>
      </c>
      <c r="B292" s="15" t="s">
        <v>516</v>
      </c>
      <c r="C292" s="36">
        <v>2.0</v>
      </c>
      <c r="D292" s="2" t="s">
        <v>33</v>
      </c>
    </row>
    <row r="293">
      <c r="A293" s="15" t="s">
        <v>516</v>
      </c>
      <c r="B293" s="15" t="s">
        <v>398</v>
      </c>
      <c r="C293" s="36">
        <v>1.0</v>
      </c>
      <c r="D293" s="2" t="s">
        <v>33</v>
      </c>
    </row>
    <row r="294">
      <c r="A294" s="15" t="s">
        <v>398</v>
      </c>
      <c r="B294" s="15" t="s">
        <v>399</v>
      </c>
      <c r="C294" s="36">
        <v>1.0</v>
      </c>
      <c r="D294" s="2" t="s">
        <v>33</v>
      </c>
    </row>
    <row r="295">
      <c r="A295" s="15" t="s">
        <v>399</v>
      </c>
      <c r="B295" s="13" t="s">
        <v>214</v>
      </c>
      <c r="C295" s="36">
        <v>1.0</v>
      </c>
      <c r="D295" s="2" t="s">
        <v>33</v>
      </c>
    </row>
    <row r="296">
      <c r="A296" s="23" t="s">
        <v>214</v>
      </c>
      <c r="B296" s="15" t="s">
        <v>400</v>
      </c>
      <c r="C296" s="36">
        <v>1.0</v>
      </c>
      <c r="D296" s="2" t="s">
        <v>33</v>
      </c>
    </row>
    <row r="297">
      <c r="A297" s="15" t="s">
        <v>400</v>
      </c>
      <c r="B297" s="15" t="s">
        <v>401</v>
      </c>
      <c r="C297" s="36">
        <v>3.0</v>
      </c>
      <c r="D297" s="2" t="s">
        <v>33</v>
      </c>
    </row>
    <row r="298">
      <c r="A298" s="15" t="s">
        <v>401</v>
      </c>
      <c r="B298" s="15" t="s">
        <v>402</v>
      </c>
      <c r="C298" s="36">
        <v>2.0</v>
      </c>
      <c r="D298" s="2" t="s">
        <v>33</v>
      </c>
    </row>
    <row r="299">
      <c r="A299" s="17" t="s">
        <v>372</v>
      </c>
      <c r="B299" s="17" t="s">
        <v>403</v>
      </c>
      <c r="C299" s="33">
        <v>2.0</v>
      </c>
      <c r="D299" s="2" t="s">
        <v>38</v>
      </c>
    </row>
    <row r="300">
      <c r="A300" s="17" t="s">
        <v>403</v>
      </c>
      <c r="B300" s="17" t="s">
        <v>404</v>
      </c>
      <c r="C300" s="33">
        <v>3.0</v>
      </c>
      <c r="D300" s="2" t="s">
        <v>38</v>
      </c>
    </row>
    <row r="301">
      <c r="A301" s="17" t="s">
        <v>404</v>
      </c>
      <c r="B301" s="17" t="s">
        <v>405</v>
      </c>
      <c r="C301" s="33">
        <v>1.0</v>
      </c>
      <c r="D301" s="2" t="s">
        <v>38</v>
      </c>
    </row>
    <row r="302">
      <c r="A302" s="17" t="s">
        <v>405</v>
      </c>
      <c r="B302" s="17" t="s">
        <v>406</v>
      </c>
      <c r="C302" s="33">
        <v>1.0</v>
      </c>
      <c r="D302" s="2" t="s">
        <v>38</v>
      </c>
    </row>
    <row r="303">
      <c r="A303" s="17" t="s">
        <v>406</v>
      </c>
      <c r="B303" s="17" t="s">
        <v>407</v>
      </c>
      <c r="C303" s="33">
        <v>1.0</v>
      </c>
      <c r="D303" s="2" t="s">
        <v>38</v>
      </c>
    </row>
    <row r="304">
      <c r="A304" s="17" t="s">
        <v>407</v>
      </c>
      <c r="B304" s="17" t="s">
        <v>408</v>
      </c>
      <c r="C304" s="33">
        <v>1.0</v>
      </c>
      <c r="D304" s="2" t="s">
        <v>38</v>
      </c>
    </row>
    <row r="305">
      <c r="A305" s="17" t="s">
        <v>408</v>
      </c>
      <c r="B305" s="17" t="s">
        <v>331</v>
      </c>
      <c r="C305" s="33">
        <v>2.0</v>
      </c>
      <c r="D305" s="2" t="s">
        <v>38</v>
      </c>
    </row>
    <row r="306">
      <c r="A306" s="17" t="s">
        <v>331</v>
      </c>
      <c r="B306" s="17" t="s">
        <v>517</v>
      </c>
      <c r="C306" s="33">
        <v>1.0</v>
      </c>
      <c r="D306" s="2" t="s">
        <v>38</v>
      </c>
    </row>
    <row r="307">
      <c r="A307" s="17" t="s">
        <v>517</v>
      </c>
      <c r="B307" s="17" t="s">
        <v>188</v>
      </c>
      <c r="C307" s="33">
        <v>2.0</v>
      </c>
      <c r="D307" s="2" t="s">
        <v>38</v>
      </c>
    </row>
    <row r="308">
      <c r="A308" s="17" t="s">
        <v>188</v>
      </c>
      <c r="B308" s="17" t="s">
        <v>189</v>
      </c>
      <c r="C308" s="33">
        <v>1.0</v>
      </c>
      <c r="D308" s="2" t="s">
        <v>38</v>
      </c>
    </row>
    <row r="309">
      <c r="A309" s="17" t="s">
        <v>189</v>
      </c>
      <c r="B309" s="17" t="s">
        <v>190</v>
      </c>
      <c r="C309" s="33">
        <v>1.0</v>
      </c>
      <c r="D309" s="2" t="s">
        <v>38</v>
      </c>
    </row>
    <row r="310">
      <c r="A310" s="17" t="s">
        <v>190</v>
      </c>
      <c r="B310" s="17" t="s">
        <v>220</v>
      </c>
      <c r="C310" s="33">
        <v>1.0</v>
      </c>
      <c r="D310" s="2" t="s">
        <v>38</v>
      </c>
    </row>
    <row r="311">
      <c r="A311" s="17" t="s">
        <v>220</v>
      </c>
      <c r="B311" s="17" t="s">
        <v>410</v>
      </c>
      <c r="C311" s="33">
        <v>1.0</v>
      </c>
      <c r="D311" s="2" t="s">
        <v>38</v>
      </c>
    </row>
    <row r="312">
      <c r="A312" s="17" t="s">
        <v>410</v>
      </c>
      <c r="B312" s="17" t="s">
        <v>411</v>
      </c>
      <c r="C312" s="33">
        <v>1.0</v>
      </c>
      <c r="D312" s="2" t="s">
        <v>38</v>
      </c>
    </row>
    <row r="313">
      <c r="A313" s="17" t="s">
        <v>411</v>
      </c>
      <c r="B313" s="17" t="s">
        <v>412</v>
      </c>
      <c r="C313" s="33">
        <v>1.0</v>
      </c>
      <c r="D313" s="2" t="s">
        <v>38</v>
      </c>
    </row>
    <row r="314">
      <c r="A314" s="17" t="s">
        <v>412</v>
      </c>
      <c r="B314" s="17" t="s">
        <v>387</v>
      </c>
      <c r="C314" s="33">
        <v>1.0</v>
      </c>
      <c r="D314" s="2" t="s">
        <v>38</v>
      </c>
    </row>
    <row r="315">
      <c r="A315" s="17" t="s">
        <v>387</v>
      </c>
      <c r="B315" s="17" t="s">
        <v>388</v>
      </c>
      <c r="C315" s="33">
        <v>1.0</v>
      </c>
      <c r="D315" s="2" t="s">
        <v>38</v>
      </c>
    </row>
    <row r="316">
      <c r="A316" s="17" t="s">
        <v>413</v>
      </c>
      <c r="B316" s="17" t="s">
        <v>414</v>
      </c>
      <c r="C316" s="33">
        <v>2.0</v>
      </c>
      <c r="D316" s="2" t="s">
        <v>43</v>
      </c>
    </row>
    <row r="317">
      <c r="A317" s="17" t="s">
        <v>414</v>
      </c>
      <c r="B317" s="17" t="s">
        <v>415</v>
      </c>
      <c r="C317" s="33">
        <v>1.0</v>
      </c>
      <c r="D317" s="2" t="s">
        <v>43</v>
      </c>
    </row>
    <row r="318">
      <c r="A318" s="17" t="s">
        <v>415</v>
      </c>
      <c r="B318" s="17" t="s">
        <v>416</v>
      </c>
      <c r="C318" s="33">
        <v>1.0</v>
      </c>
      <c r="D318" s="2" t="s">
        <v>43</v>
      </c>
    </row>
    <row r="319">
      <c r="A319" s="17" t="s">
        <v>416</v>
      </c>
      <c r="B319" s="17" t="s">
        <v>417</v>
      </c>
      <c r="C319" s="33">
        <v>1.0</v>
      </c>
      <c r="D319" s="2" t="s">
        <v>43</v>
      </c>
    </row>
    <row r="320">
      <c r="A320" s="17" t="s">
        <v>417</v>
      </c>
      <c r="B320" s="17" t="s">
        <v>418</v>
      </c>
      <c r="C320" s="33">
        <v>1.0</v>
      </c>
      <c r="D320" s="2" t="s">
        <v>43</v>
      </c>
    </row>
    <row r="321">
      <c r="A321" s="17" t="s">
        <v>418</v>
      </c>
      <c r="B321" s="17" t="s">
        <v>419</v>
      </c>
      <c r="C321" s="33">
        <v>1.0</v>
      </c>
      <c r="D321" s="2" t="s">
        <v>43</v>
      </c>
    </row>
    <row r="322">
      <c r="A322" s="17" t="s">
        <v>419</v>
      </c>
      <c r="B322" s="17" t="s">
        <v>420</v>
      </c>
      <c r="C322" s="33">
        <v>1.0</v>
      </c>
      <c r="D322" s="2" t="s">
        <v>43</v>
      </c>
    </row>
    <row r="323">
      <c r="A323" s="17" t="s">
        <v>420</v>
      </c>
      <c r="B323" s="17" t="s">
        <v>421</v>
      </c>
      <c r="C323" s="33">
        <v>1.0</v>
      </c>
      <c r="D323" s="2" t="s">
        <v>43</v>
      </c>
    </row>
    <row r="324">
      <c r="A324" s="17" t="s">
        <v>421</v>
      </c>
      <c r="B324" s="17" t="s">
        <v>422</v>
      </c>
      <c r="C324" s="33">
        <v>3.0</v>
      </c>
      <c r="D324" s="2" t="s">
        <v>43</v>
      </c>
    </row>
    <row r="325">
      <c r="A325" s="17" t="s">
        <v>422</v>
      </c>
      <c r="B325" s="17" t="s">
        <v>423</v>
      </c>
      <c r="C325" s="33">
        <v>2.0</v>
      </c>
      <c r="D325" s="2" t="s">
        <v>43</v>
      </c>
    </row>
    <row r="326">
      <c r="A326" s="17" t="s">
        <v>423</v>
      </c>
      <c r="B326" s="17" t="s">
        <v>211</v>
      </c>
      <c r="C326" s="33">
        <v>2.0</v>
      </c>
      <c r="D326" s="2" t="s">
        <v>43</v>
      </c>
    </row>
    <row r="327">
      <c r="A327" s="17" t="s">
        <v>211</v>
      </c>
      <c r="B327" s="17" t="s">
        <v>424</v>
      </c>
      <c r="C327" s="33">
        <v>2.0</v>
      </c>
      <c r="D327" s="2" t="s">
        <v>43</v>
      </c>
    </row>
    <row r="328">
      <c r="A328" s="17" t="s">
        <v>424</v>
      </c>
      <c r="B328" s="17" t="s">
        <v>425</v>
      </c>
      <c r="C328" s="33">
        <v>1.0</v>
      </c>
      <c r="D328" s="2" t="s">
        <v>43</v>
      </c>
    </row>
    <row r="329">
      <c r="A329" s="17" t="s">
        <v>425</v>
      </c>
      <c r="B329" s="17" t="s">
        <v>426</v>
      </c>
      <c r="C329" s="33">
        <v>2.0</v>
      </c>
      <c r="D329" s="2" t="s">
        <v>43</v>
      </c>
    </row>
    <row r="330">
      <c r="A330" s="17" t="s">
        <v>426</v>
      </c>
      <c r="B330" s="17" t="s">
        <v>427</v>
      </c>
      <c r="C330" s="33">
        <v>1.0</v>
      </c>
      <c r="D330" s="2" t="s">
        <v>43</v>
      </c>
    </row>
    <row r="331">
      <c r="A331" s="17" t="s">
        <v>427</v>
      </c>
      <c r="B331" s="17" t="s">
        <v>428</v>
      </c>
      <c r="C331" s="33">
        <v>1.0</v>
      </c>
      <c r="D331" s="2" t="s">
        <v>43</v>
      </c>
    </row>
    <row r="332">
      <c r="A332" s="17" t="s">
        <v>428</v>
      </c>
      <c r="B332" s="17" t="s">
        <v>96</v>
      </c>
      <c r="C332" s="33">
        <v>1.0</v>
      </c>
      <c r="D332" s="2" t="s">
        <v>43</v>
      </c>
    </row>
    <row r="333">
      <c r="A333" s="17" t="s">
        <v>96</v>
      </c>
      <c r="B333" s="17" t="s">
        <v>429</v>
      </c>
      <c r="C333" s="33">
        <v>2.0</v>
      </c>
      <c r="D333" s="2" t="s">
        <v>43</v>
      </c>
    </row>
    <row r="334">
      <c r="A334" s="17" t="s">
        <v>429</v>
      </c>
      <c r="B334" s="17" t="s">
        <v>430</v>
      </c>
      <c r="C334" s="33">
        <v>1.0</v>
      </c>
      <c r="D334" s="2" t="s">
        <v>43</v>
      </c>
    </row>
    <row r="335">
      <c r="A335" s="17" t="s">
        <v>430</v>
      </c>
      <c r="B335" s="17" t="s">
        <v>431</v>
      </c>
      <c r="C335" s="37">
        <v>1.0</v>
      </c>
      <c r="D335" s="2" t="s">
        <v>43</v>
      </c>
    </row>
    <row r="336">
      <c r="A336" s="17" t="s">
        <v>431</v>
      </c>
      <c r="B336" s="17" t="s">
        <v>432</v>
      </c>
      <c r="C336" s="33">
        <v>1.0</v>
      </c>
      <c r="D336" s="2" t="s">
        <v>43</v>
      </c>
    </row>
    <row r="337">
      <c r="A337" s="17" t="s">
        <v>432</v>
      </c>
      <c r="B337" s="17" t="s">
        <v>169</v>
      </c>
      <c r="C337" s="33">
        <v>1.0</v>
      </c>
      <c r="D337" s="2" t="s">
        <v>43</v>
      </c>
    </row>
    <row r="338">
      <c r="A338" s="17" t="s">
        <v>169</v>
      </c>
      <c r="B338" s="17" t="s">
        <v>170</v>
      </c>
      <c r="C338" s="33">
        <v>1.0</v>
      </c>
      <c r="D338" s="2" t="s">
        <v>43</v>
      </c>
    </row>
    <row r="339">
      <c r="A339" s="17" t="s">
        <v>170</v>
      </c>
      <c r="B339" s="17" t="s">
        <v>171</v>
      </c>
      <c r="C339" s="33">
        <v>1.0</v>
      </c>
      <c r="D339" s="2" t="s">
        <v>43</v>
      </c>
    </row>
    <row r="340">
      <c r="A340" s="17" t="s">
        <v>171</v>
      </c>
      <c r="B340" s="17" t="s">
        <v>172</v>
      </c>
      <c r="C340" s="33">
        <v>1.0</v>
      </c>
      <c r="D340" s="2" t="s">
        <v>43</v>
      </c>
    </row>
    <row r="341">
      <c r="A341" s="17" t="s">
        <v>172</v>
      </c>
      <c r="B341" s="17" t="s">
        <v>225</v>
      </c>
      <c r="C341" s="33">
        <v>1.0</v>
      </c>
      <c r="D341" s="2" t="s">
        <v>43</v>
      </c>
    </row>
    <row r="342">
      <c r="A342" s="17" t="s">
        <v>225</v>
      </c>
      <c r="B342" s="17" t="s">
        <v>518</v>
      </c>
      <c r="C342" s="33">
        <v>1.0</v>
      </c>
      <c r="D342" s="2" t="s">
        <v>43</v>
      </c>
    </row>
    <row r="343">
      <c r="A343" s="17" t="s">
        <v>518</v>
      </c>
      <c r="B343" s="17" t="s">
        <v>227</v>
      </c>
      <c r="C343" s="33">
        <v>1.0</v>
      </c>
      <c r="D343" s="2" t="s">
        <v>43</v>
      </c>
    </row>
    <row r="344">
      <c r="A344" s="17" t="s">
        <v>227</v>
      </c>
      <c r="B344" s="17" t="s">
        <v>433</v>
      </c>
      <c r="C344" s="33">
        <v>1.0</v>
      </c>
      <c r="D344" s="2" t="s">
        <v>43</v>
      </c>
    </row>
    <row r="345">
      <c r="A345" s="17" t="s">
        <v>433</v>
      </c>
      <c r="B345" s="17" t="s">
        <v>225</v>
      </c>
      <c r="C345" s="33">
        <v>1.0</v>
      </c>
      <c r="D345" s="2" t="s">
        <v>48</v>
      </c>
    </row>
    <row r="346">
      <c r="A346" s="17" t="s">
        <v>225</v>
      </c>
      <c r="B346" s="17" t="s">
        <v>226</v>
      </c>
      <c r="C346" s="33">
        <v>1.0</v>
      </c>
      <c r="D346" s="2" t="s">
        <v>48</v>
      </c>
    </row>
    <row r="347">
      <c r="A347" s="17" t="s">
        <v>226</v>
      </c>
      <c r="B347" s="17" t="s">
        <v>227</v>
      </c>
      <c r="C347" s="33">
        <v>1.0</v>
      </c>
      <c r="D347" s="2" t="s">
        <v>48</v>
      </c>
    </row>
    <row r="348">
      <c r="A348" s="17" t="s">
        <v>227</v>
      </c>
      <c r="B348" s="17" t="s">
        <v>434</v>
      </c>
      <c r="C348" s="33">
        <v>2.0</v>
      </c>
      <c r="D348" s="2" t="s">
        <v>48</v>
      </c>
    </row>
    <row r="349">
      <c r="A349" s="17" t="s">
        <v>434</v>
      </c>
      <c r="B349" s="17" t="s">
        <v>435</v>
      </c>
      <c r="C349" s="33">
        <v>2.0</v>
      </c>
      <c r="D349" s="2" t="s">
        <v>48</v>
      </c>
    </row>
    <row r="350">
      <c r="A350" s="17" t="s">
        <v>435</v>
      </c>
      <c r="B350" s="17" t="s">
        <v>436</v>
      </c>
      <c r="C350" s="33">
        <v>1.0</v>
      </c>
      <c r="D350" s="2" t="s">
        <v>48</v>
      </c>
    </row>
    <row r="351">
      <c r="A351" s="17" t="s">
        <v>436</v>
      </c>
      <c r="B351" s="17" t="s">
        <v>437</v>
      </c>
      <c r="C351" s="33">
        <v>1.0</v>
      </c>
      <c r="D351" s="2" t="s">
        <v>48</v>
      </c>
    </row>
    <row r="352">
      <c r="A352" s="17" t="s">
        <v>437</v>
      </c>
      <c r="B352" s="17" t="s">
        <v>215</v>
      </c>
      <c r="C352" s="33">
        <v>1.0</v>
      </c>
      <c r="D352" s="2" t="s">
        <v>48</v>
      </c>
    </row>
    <row r="353">
      <c r="A353" s="17" t="s">
        <v>215</v>
      </c>
      <c r="B353" s="17" t="s">
        <v>214</v>
      </c>
      <c r="C353" s="33">
        <v>1.0</v>
      </c>
      <c r="D353" s="2" t="s">
        <v>48</v>
      </c>
    </row>
    <row r="354">
      <c r="A354" s="17" t="s">
        <v>214</v>
      </c>
      <c r="B354" s="17" t="s">
        <v>438</v>
      </c>
      <c r="C354" s="33">
        <v>1.0</v>
      </c>
      <c r="D354" s="2" t="s">
        <v>48</v>
      </c>
    </row>
    <row r="355">
      <c r="A355" s="17" t="s">
        <v>438</v>
      </c>
      <c r="B355" s="17" t="s">
        <v>439</v>
      </c>
      <c r="C355" s="33">
        <v>2.0</v>
      </c>
      <c r="D355" s="2" t="s">
        <v>48</v>
      </c>
    </row>
    <row r="356">
      <c r="A356" s="17" t="s">
        <v>439</v>
      </c>
      <c r="B356" s="17" t="s">
        <v>440</v>
      </c>
      <c r="C356" s="33">
        <v>1.0</v>
      </c>
      <c r="D356" s="2" t="s">
        <v>48</v>
      </c>
    </row>
    <row r="357">
      <c r="A357" s="17" t="s">
        <v>440</v>
      </c>
      <c r="B357" s="17" t="s">
        <v>441</v>
      </c>
      <c r="C357" s="33">
        <v>2.0</v>
      </c>
      <c r="D357" s="2" t="s">
        <v>48</v>
      </c>
    </row>
    <row r="358">
      <c r="A358" s="17" t="s">
        <v>441</v>
      </c>
      <c r="B358" s="17" t="s">
        <v>442</v>
      </c>
      <c r="C358" s="33">
        <v>2.0</v>
      </c>
      <c r="D358" s="2" t="s">
        <v>48</v>
      </c>
    </row>
    <row r="359">
      <c r="A359" s="17" t="s">
        <v>442</v>
      </c>
      <c r="B359" s="23" t="s">
        <v>199</v>
      </c>
      <c r="C359" s="33">
        <v>1.0</v>
      </c>
      <c r="D359" s="2" t="s">
        <v>48</v>
      </c>
    </row>
    <row r="360">
      <c r="A360" s="23" t="s">
        <v>199</v>
      </c>
      <c r="B360" s="23" t="s">
        <v>198</v>
      </c>
      <c r="C360" s="33">
        <v>1.0</v>
      </c>
      <c r="D360" s="2" t="s">
        <v>48</v>
      </c>
    </row>
    <row r="361">
      <c r="A361" s="23" t="s">
        <v>198</v>
      </c>
      <c r="B361" s="23" t="s">
        <v>443</v>
      </c>
      <c r="C361" s="33">
        <v>1.0</v>
      </c>
      <c r="D361" s="2" t="s">
        <v>48</v>
      </c>
    </row>
    <row r="362">
      <c r="A362" s="23" t="s">
        <v>443</v>
      </c>
      <c r="B362" s="23" t="s">
        <v>444</v>
      </c>
      <c r="C362" s="33">
        <v>1.0</v>
      </c>
      <c r="D362" s="2" t="s">
        <v>48</v>
      </c>
    </row>
    <row r="363">
      <c r="A363" s="23" t="s">
        <v>444</v>
      </c>
      <c r="B363" s="23" t="s">
        <v>445</v>
      </c>
      <c r="C363" s="33">
        <v>2.0</v>
      </c>
      <c r="D363" s="2" t="s">
        <v>48</v>
      </c>
    </row>
    <row r="364">
      <c r="A364" s="23" t="s">
        <v>445</v>
      </c>
      <c r="B364" s="23" t="s">
        <v>446</v>
      </c>
      <c r="C364" s="37">
        <v>2.0</v>
      </c>
      <c r="D364" s="2" t="s">
        <v>48</v>
      </c>
    </row>
    <row r="365">
      <c r="A365" s="23" t="s">
        <v>446</v>
      </c>
      <c r="B365" s="23" t="s">
        <v>447</v>
      </c>
      <c r="C365" s="33">
        <v>2.0</v>
      </c>
      <c r="D365" s="2" t="s">
        <v>48</v>
      </c>
    </row>
    <row r="366">
      <c r="A366" s="23" t="s">
        <v>447</v>
      </c>
      <c r="B366" s="23" t="s">
        <v>448</v>
      </c>
      <c r="C366" s="33">
        <v>1.0</v>
      </c>
      <c r="D366" s="2" t="s">
        <v>48</v>
      </c>
    </row>
    <row r="367">
      <c r="A367" s="23" t="s">
        <v>448</v>
      </c>
      <c r="B367" s="23" t="s">
        <v>449</v>
      </c>
      <c r="C367" s="33">
        <v>1.0</v>
      </c>
      <c r="D367" s="2" t="s">
        <v>48</v>
      </c>
    </row>
    <row r="368">
      <c r="A368" s="23" t="s">
        <v>449</v>
      </c>
      <c r="B368" s="23" t="s">
        <v>450</v>
      </c>
      <c r="C368" s="33">
        <v>2.0</v>
      </c>
      <c r="D368" s="2" t="s">
        <v>48</v>
      </c>
    </row>
    <row r="369">
      <c r="A369" s="23" t="s">
        <v>450</v>
      </c>
      <c r="B369" s="23" t="s">
        <v>451</v>
      </c>
      <c r="C369" s="33">
        <v>1.0</v>
      </c>
      <c r="D369" s="2" t="s">
        <v>48</v>
      </c>
    </row>
    <row r="370">
      <c r="A370" s="23" t="s">
        <v>451</v>
      </c>
      <c r="B370" s="23" t="s">
        <v>452</v>
      </c>
      <c r="C370" s="33">
        <v>1.0</v>
      </c>
      <c r="D370" s="2" t="s">
        <v>48</v>
      </c>
    </row>
    <row r="371">
      <c r="A371" s="23" t="s">
        <v>452</v>
      </c>
      <c r="B371" s="23" t="s">
        <v>193</v>
      </c>
      <c r="C371" s="33">
        <v>1.0</v>
      </c>
      <c r="D371" s="2" t="s">
        <v>48</v>
      </c>
    </row>
    <row r="372">
      <c r="A372" s="23" t="s">
        <v>193</v>
      </c>
      <c r="B372" s="23" t="s">
        <v>194</v>
      </c>
      <c r="C372" s="33">
        <v>1.0</v>
      </c>
      <c r="D372" s="2" t="s">
        <v>48</v>
      </c>
    </row>
    <row r="373">
      <c r="A373" s="23" t="s">
        <v>194</v>
      </c>
      <c r="B373" s="23" t="s">
        <v>195</v>
      </c>
      <c r="C373" s="33">
        <v>1.0</v>
      </c>
      <c r="D373" s="2" t="s">
        <v>48</v>
      </c>
    </row>
    <row r="374">
      <c r="A374" s="23" t="s">
        <v>195</v>
      </c>
      <c r="B374" s="23" t="s">
        <v>453</v>
      </c>
      <c r="C374" s="33">
        <v>1.0</v>
      </c>
      <c r="D374" s="2" t="s">
        <v>48</v>
      </c>
    </row>
    <row r="375">
      <c r="A375" s="23" t="s">
        <v>453</v>
      </c>
      <c r="B375" s="15" t="s">
        <v>197</v>
      </c>
      <c r="C375" s="33">
        <v>1.0</v>
      </c>
      <c r="D375" s="2" t="s">
        <v>48</v>
      </c>
    </row>
    <row r="376">
      <c r="A376" s="15" t="s">
        <v>197</v>
      </c>
      <c r="B376" s="23" t="s">
        <v>196</v>
      </c>
      <c r="C376" s="33">
        <v>1.0</v>
      </c>
      <c r="D376" s="2" t="s">
        <v>48</v>
      </c>
    </row>
    <row r="377">
      <c r="A377" s="23" t="s">
        <v>196</v>
      </c>
      <c r="B377" s="23" t="s">
        <v>454</v>
      </c>
      <c r="C377" s="33">
        <v>1.0</v>
      </c>
      <c r="D377" s="2" t="s">
        <v>48</v>
      </c>
    </row>
    <row r="378">
      <c r="A378" s="23" t="s">
        <v>454</v>
      </c>
      <c r="B378" s="15" t="s">
        <v>519</v>
      </c>
      <c r="C378" s="30">
        <v>2.0</v>
      </c>
      <c r="D378" s="2" t="s">
        <v>48</v>
      </c>
    </row>
    <row r="379">
      <c r="A379" s="15" t="s">
        <v>520</v>
      </c>
      <c r="B379" s="23" t="s">
        <v>456</v>
      </c>
      <c r="C379" s="30">
        <v>2.0</v>
      </c>
      <c r="D379" s="2" t="s">
        <v>48</v>
      </c>
    </row>
    <row r="380">
      <c r="A380" s="23" t="s">
        <v>456</v>
      </c>
      <c r="B380" s="23" t="s">
        <v>457</v>
      </c>
      <c r="C380" s="30">
        <v>1.0</v>
      </c>
      <c r="D380" s="2" t="s">
        <v>48</v>
      </c>
    </row>
    <row r="381">
      <c r="A381" s="23" t="s">
        <v>457</v>
      </c>
      <c r="B381" s="23" t="s">
        <v>458</v>
      </c>
      <c r="C381" s="30">
        <v>1.0</v>
      </c>
      <c r="D381" s="2" t="s">
        <v>48</v>
      </c>
    </row>
    <row r="382">
      <c r="A382" s="23" t="s">
        <v>458</v>
      </c>
      <c r="B382" s="23" t="s">
        <v>459</v>
      </c>
      <c r="C382" s="30">
        <v>1.0</v>
      </c>
      <c r="D382" s="2" t="s">
        <v>48</v>
      </c>
    </row>
    <row r="383">
      <c r="A383" s="23" t="s">
        <v>459</v>
      </c>
      <c r="B383" s="23" t="s">
        <v>460</v>
      </c>
      <c r="C383" s="30">
        <v>1.0</v>
      </c>
      <c r="D383" s="2" t="s">
        <v>48</v>
      </c>
    </row>
    <row r="384">
      <c r="A384" s="23" t="s">
        <v>460</v>
      </c>
      <c r="B384" s="13" t="s">
        <v>461</v>
      </c>
      <c r="C384" s="30">
        <v>1.0</v>
      </c>
      <c r="D384" s="2" t="s">
        <v>48</v>
      </c>
    </row>
    <row r="385">
      <c r="A385" s="13" t="s">
        <v>461</v>
      </c>
      <c r="B385" s="13" t="s">
        <v>462</v>
      </c>
      <c r="C385" s="30">
        <v>2.0</v>
      </c>
      <c r="D385" s="2" t="s">
        <v>48</v>
      </c>
    </row>
    <row r="386">
      <c r="A386" s="15" t="s">
        <v>433</v>
      </c>
      <c r="B386" s="23" t="s">
        <v>225</v>
      </c>
      <c r="C386" s="33">
        <v>1.0</v>
      </c>
      <c r="D386" s="2" t="s">
        <v>25</v>
      </c>
    </row>
    <row r="387">
      <c r="A387" s="23" t="s">
        <v>225</v>
      </c>
      <c r="B387" s="23" t="s">
        <v>463</v>
      </c>
      <c r="C387" s="33">
        <v>1.0</v>
      </c>
      <c r="D387" s="2" t="s">
        <v>25</v>
      </c>
    </row>
    <row r="388">
      <c r="A388" s="23" t="s">
        <v>463</v>
      </c>
      <c r="B388" s="23" t="s">
        <v>464</v>
      </c>
      <c r="C388" s="33">
        <v>1.0</v>
      </c>
      <c r="D388" s="2" t="s">
        <v>25</v>
      </c>
    </row>
    <row r="389">
      <c r="A389" s="23" t="s">
        <v>464</v>
      </c>
      <c r="B389" s="23" t="s">
        <v>465</v>
      </c>
      <c r="C389" s="33">
        <v>2.0</v>
      </c>
      <c r="D389" s="2" t="s">
        <v>25</v>
      </c>
    </row>
    <row r="390">
      <c r="A390" s="23" t="s">
        <v>465</v>
      </c>
      <c r="B390" s="23" t="s">
        <v>466</v>
      </c>
      <c r="C390" s="33">
        <v>1.0</v>
      </c>
      <c r="D390" s="2" t="s">
        <v>25</v>
      </c>
    </row>
    <row r="391">
      <c r="A391" s="23" t="s">
        <v>466</v>
      </c>
      <c r="B391" s="23" t="s">
        <v>467</v>
      </c>
      <c r="C391" s="33">
        <v>1.0</v>
      </c>
      <c r="D391" s="2" t="s">
        <v>25</v>
      </c>
    </row>
    <row r="392">
      <c r="A392" s="23" t="s">
        <v>467</v>
      </c>
      <c r="B392" s="15" t="s">
        <v>521</v>
      </c>
      <c r="C392" s="33">
        <v>1.0</v>
      </c>
      <c r="D392" s="2" t="s">
        <v>25</v>
      </c>
    </row>
    <row r="393">
      <c r="A393" s="15" t="s">
        <v>521</v>
      </c>
      <c r="B393" s="23" t="s">
        <v>171</v>
      </c>
      <c r="C393" s="33">
        <v>1.0</v>
      </c>
      <c r="D393" s="2" t="s">
        <v>25</v>
      </c>
    </row>
    <row r="394">
      <c r="A394" s="23" t="s">
        <v>171</v>
      </c>
      <c r="B394" s="23" t="s">
        <v>522</v>
      </c>
      <c r="C394" s="33">
        <v>1.0</v>
      </c>
      <c r="D394" s="2" t="s">
        <v>25</v>
      </c>
    </row>
    <row r="395">
      <c r="A395" s="23" t="s">
        <v>522</v>
      </c>
      <c r="B395" s="23" t="s">
        <v>523</v>
      </c>
      <c r="C395" s="33">
        <v>1.0</v>
      </c>
      <c r="D395" s="2" t="s">
        <v>25</v>
      </c>
    </row>
    <row r="396">
      <c r="A396" s="23" t="s">
        <v>523</v>
      </c>
      <c r="B396" s="15" t="s">
        <v>468</v>
      </c>
      <c r="C396" s="33">
        <v>1.0</v>
      </c>
      <c r="D396" s="2" t="s">
        <v>25</v>
      </c>
    </row>
    <row r="397">
      <c r="A397" s="15" t="s">
        <v>468</v>
      </c>
      <c r="B397" s="15" t="s">
        <v>469</v>
      </c>
      <c r="C397" s="33">
        <v>1.0</v>
      </c>
      <c r="D397" s="2" t="s">
        <v>25</v>
      </c>
    </row>
    <row r="398">
      <c r="A398" s="15" t="s">
        <v>469</v>
      </c>
      <c r="B398" s="15" t="s">
        <v>470</v>
      </c>
      <c r="C398" s="33">
        <v>1.0</v>
      </c>
      <c r="D398" s="2" t="s">
        <v>25</v>
      </c>
    </row>
    <row r="399">
      <c r="A399" s="15" t="s">
        <v>470</v>
      </c>
      <c r="B399" s="15" t="s">
        <v>471</v>
      </c>
      <c r="C399" s="33">
        <v>1.0</v>
      </c>
      <c r="D399" s="2" t="s">
        <v>25</v>
      </c>
    </row>
    <row r="400">
      <c r="A400" s="15" t="s">
        <v>471</v>
      </c>
      <c r="B400" s="15" t="s">
        <v>524</v>
      </c>
      <c r="C400" s="33">
        <v>1.0</v>
      </c>
      <c r="D400" s="2" t="s">
        <v>25</v>
      </c>
    </row>
    <row r="401">
      <c r="A401" s="15" t="s">
        <v>524</v>
      </c>
      <c r="B401" s="15" t="s">
        <v>473</v>
      </c>
      <c r="C401" s="33">
        <v>1.0</v>
      </c>
      <c r="D401" s="2" t="s">
        <v>25</v>
      </c>
    </row>
    <row r="402">
      <c r="A402" s="15" t="s">
        <v>473</v>
      </c>
      <c r="B402" s="15" t="s">
        <v>474</v>
      </c>
      <c r="C402" s="33">
        <v>1.0</v>
      </c>
      <c r="D402" s="2" t="s">
        <v>25</v>
      </c>
    </row>
    <row r="403">
      <c r="A403" s="15" t="s">
        <v>474</v>
      </c>
      <c r="B403" s="15" t="s">
        <v>475</v>
      </c>
      <c r="C403" s="33">
        <v>1.0</v>
      </c>
      <c r="D403" s="2" t="s">
        <v>25</v>
      </c>
    </row>
    <row r="404">
      <c r="A404" s="15" t="s">
        <v>475</v>
      </c>
      <c r="B404" s="15" t="s">
        <v>476</v>
      </c>
      <c r="C404" s="33">
        <v>1.0</v>
      </c>
      <c r="D404" s="2" t="s">
        <v>25</v>
      </c>
    </row>
    <row r="405">
      <c r="A405" s="15" t="s">
        <v>476</v>
      </c>
      <c r="B405" s="15" t="s">
        <v>477</v>
      </c>
      <c r="C405" s="33">
        <v>1.0</v>
      </c>
      <c r="D405" s="2" t="s">
        <v>25</v>
      </c>
    </row>
    <row r="406">
      <c r="A406" s="15" t="s">
        <v>477</v>
      </c>
      <c r="B406" s="15" t="s">
        <v>478</v>
      </c>
      <c r="C406" s="33">
        <v>1.0</v>
      </c>
      <c r="D406" s="2" t="s">
        <v>25</v>
      </c>
    </row>
    <row r="407">
      <c r="A407" s="15" t="s">
        <v>478</v>
      </c>
      <c r="B407" s="17" t="s">
        <v>479</v>
      </c>
      <c r="C407" s="33">
        <v>1.0</v>
      </c>
      <c r="D407" s="2" t="s">
        <v>25</v>
      </c>
    </row>
    <row r="408">
      <c r="A408" s="17" t="s">
        <v>479</v>
      </c>
      <c r="B408" s="17" t="s">
        <v>480</v>
      </c>
      <c r="C408" s="33">
        <v>1.0</v>
      </c>
      <c r="D408" s="2" t="s">
        <v>25</v>
      </c>
    </row>
    <row r="409">
      <c r="A409" s="17" t="s">
        <v>480</v>
      </c>
      <c r="B409" s="17" t="s">
        <v>481</v>
      </c>
      <c r="C409" s="33">
        <v>1.0</v>
      </c>
      <c r="D409" s="2" t="s">
        <v>25</v>
      </c>
    </row>
    <row r="410">
      <c r="A410" s="17" t="s">
        <v>481</v>
      </c>
      <c r="B410" s="17" t="s">
        <v>482</v>
      </c>
      <c r="C410" s="33">
        <v>1.0</v>
      </c>
      <c r="D410" s="2" t="s">
        <v>25</v>
      </c>
    </row>
    <row r="411">
      <c r="A411" s="17" t="s">
        <v>482</v>
      </c>
      <c r="B411" s="17" t="s">
        <v>68</v>
      </c>
      <c r="C411" s="33">
        <v>1.0</v>
      </c>
      <c r="D411" s="2" t="s">
        <v>25</v>
      </c>
    </row>
    <row r="412">
      <c r="A412" s="17" t="s">
        <v>68</v>
      </c>
      <c r="B412" s="17" t="s">
        <v>63</v>
      </c>
      <c r="C412" s="33">
        <v>1.0</v>
      </c>
      <c r="D412" s="2" t="s">
        <v>25</v>
      </c>
    </row>
    <row r="413">
      <c r="A413" s="17" t="s">
        <v>63</v>
      </c>
      <c r="B413" s="17" t="s">
        <v>8</v>
      </c>
      <c r="C413" s="33">
        <v>2.0</v>
      </c>
      <c r="D413" s="2" t="s">
        <v>25</v>
      </c>
    </row>
    <row r="414">
      <c r="A414" s="17"/>
      <c r="B414" s="17"/>
      <c r="C414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1.75"/>
    <col customWidth="1" min="5" max="5" width="18.0"/>
    <col customWidth="1" min="7" max="8" width="21.5"/>
    <col customWidth="1" min="9" max="9" width="12.5"/>
    <col customWidth="1" min="10" max="10" width="21.5"/>
    <col customWidth="1" min="12" max="13" width="23.5"/>
    <col customWidth="1" min="17" max="18" width="26.75"/>
    <col customWidth="1" min="22" max="23" width="21.13"/>
    <col customWidth="1" min="27" max="27" width="33.75"/>
    <col customWidth="1" min="28" max="28" width="27.88"/>
    <col customWidth="1" min="29" max="29" width="11.75"/>
    <col customWidth="1" min="30" max="30" width="27.88"/>
    <col customWidth="1" min="31" max="31" width="13.5"/>
    <col customWidth="1" min="32" max="32" width="30.75"/>
    <col customWidth="1" min="33" max="33" width="27.88"/>
    <col customWidth="1" min="34" max="34" width="12.0"/>
    <col customWidth="1" min="35" max="35" width="27.88"/>
    <col customWidth="1" min="36" max="36" width="13.75"/>
    <col customWidth="1" min="37" max="38" width="27.88"/>
    <col customWidth="1" min="39" max="39" width="10.88"/>
    <col customWidth="1" min="40" max="40" width="27.88"/>
    <col customWidth="1" min="41" max="41" width="13.88"/>
    <col customWidth="1" min="42" max="43" width="27.88"/>
    <col customWidth="1" min="44" max="44" width="12.13"/>
    <col customWidth="1" min="45" max="45" width="17.0"/>
    <col customWidth="1" min="46" max="46" width="10.88"/>
    <col customWidth="1" min="47" max="47" width="19.88"/>
    <col customWidth="1" min="48" max="48" width="27.88"/>
    <col customWidth="1" min="49" max="49" width="12.75"/>
  </cols>
  <sheetData>
    <row r="2">
      <c r="A2" s="38" t="s">
        <v>10</v>
      </c>
      <c r="B2" s="38" t="s">
        <v>11</v>
      </c>
      <c r="D2" s="39" t="s">
        <v>525</v>
      </c>
      <c r="F2" s="40" t="s">
        <v>14</v>
      </c>
      <c r="G2" s="40" t="s">
        <v>15</v>
      </c>
      <c r="I2" s="41" t="s">
        <v>525</v>
      </c>
      <c r="K2" s="42" t="s">
        <v>18</v>
      </c>
      <c r="L2" s="42" t="s">
        <v>19</v>
      </c>
      <c r="N2" s="43" t="s">
        <v>525</v>
      </c>
      <c r="P2" s="44" t="s">
        <v>21</v>
      </c>
      <c r="Q2" s="44" t="s">
        <v>23</v>
      </c>
      <c r="S2" s="45" t="s">
        <v>525</v>
      </c>
      <c r="U2" s="46" t="s">
        <v>28</v>
      </c>
      <c r="V2" s="46" t="s">
        <v>29</v>
      </c>
      <c r="X2" s="47" t="s">
        <v>525</v>
      </c>
      <c r="Z2" s="48" t="s">
        <v>33</v>
      </c>
      <c r="AA2" s="48" t="s">
        <v>34</v>
      </c>
      <c r="AB2" s="21"/>
      <c r="AC2" s="49" t="s">
        <v>525</v>
      </c>
      <c r="AD2" s="21"/>
      <c r="AE2" s="50" t="s">
        <v>38</v>
      </c>
      <c r="AF2" s="50" t="s">
        <v>39</v>
      </c>
      <c r="AG2" s="21"/>
      <c r="AH2" s="51" t="s">
        <v>525</v>
      </c>
      <c r="AI2" s="21"/>
      <c r="AJ2" s="52" t="s">
        <v>43</v>
      </c>
      <c r="AK2" s="52" t="s">
        <v>44</v>
      </c>
      <c r="AL2" s="21"/>
      <c r="AM2" s="53" t="s">
        <v>525</v>
      </c>
      <c r="AN2" s="21"/>
      <c r="AO2" s="54" t="s">
        <v>48</v>
      </c>
      <c r="AP2" s="54" t="s">
        <v>49</v>
      </c>
      <c r="AQ2" s="21"/>
      <c r="AR2" s="55" t="s">
        <v>525</v>
      </c>
      <c r="AS2" s="56"/>
      <c r="AT2" s="57" t="s">
        <v>25</v>
      </c>
      <c r="AU2" s="57" t="s">
        <v>52</v>
      </c>
      <c r="AV2" s="58"/>
      <c r="AW2" s="59" t="s">
        <v>525</v>
      </c>
    </row>
    <row r="3">
      <c r="A3" s="38" t="s">
        <v>526</v>
      </c>
      <c r="C3" s="17"/>
      <c r="F3" s="40" t="s">
        <v>16</v>
      </c>
      <c r="H3" s="17"/>
      <c r="K3" s="42" t="s">
        <v>20</v>
      </c>
      <c r="M3" s="17"/>
      <c r="P3" s="44" t="s">
        <v>24</v>
      </c>
      <c r="R3" s="17"/>
      <c r="U3" s="46" t="s">
        <v>30</v>
      </c>
      <c r="W3" s="17"/>
      <c r="Z3" s="48" t="s">
        <v>35</v>
      </c>
      <c r="AB3" s="17"/>
      <c r="AD3" s="17"/>
      <c r="AE3" s="50" t="s">
        <v>40</v>
      </c>
      <c r="AG3" s="17"/>
      <c r="AI3" s="17"/>
      <c r="AJ3" s="52" t="s">
        <v>45</v>
      </c>
      <c r="AL3" s="17"/>
      <c r="AN3" s="17"/>
      <c r="AO3" s="54" t="s">
        <v>50</v>
      </c>
      <c r="AQ3" s="17"/>
      <c r="AS3" s="56"/>
      <c r="AT3" s="57" t="s">
        <v>53</v>
      </c>
      <c r="AV3" s="23"/>
    </row>
    <row r="4">
      <c r="B4" s="17" t="s">
        <v>483</v>
      </c>
      <c r="C4" s="17" t="s">
        <v>484</v>
      </c>
      <c r="G4" s="17" t="s">
        <v>483</v>
      </c>
      <c r="H4" s="17" t="s">
        <v>484</v>
      </c>
      <c r="L4" s="17" t="s">
        <v>483</v>
      </c>
      <c r="M4" s="17" t="s">
        <v>484</v>
      </c>
      <c r="Q4" s="17" t="s">
        <v>483</v>
      </c>
      <c r="R4" s="17" t="s">
        <v>484</v>
      </c>
      <c r="V4" s="17" t="s">
        <v>483</v>
      </c>
      <c r="W4" s="17" t="s">
        <v>484</v>
      </c>
      <c r="AA4" s="17" t="s">
        <v>483</v>
      </c>
      <c r="AB4" s="17" t="s">
        <v>527</v>
      </c>
      <c r="AD4" s="17"/>
      <c r="AF4" s="17" t="s">
        <v>483</v>
      </c>
      <c r="AG4" s="17" t="s">
        <v>484</v>
      </c>
      <c r="AI4" s="17"/>
      <c r="AK4" s="17" t="s">
        <v>483</v>
      </c>
      <c r="AL4" s="17" t="s">
        <v>484</v>
      </c>
      <c r="AN4" s="17"/>
      <c r="AP4" s="17" t="s">
        <v>483</v>
      </c>
      <c r="AQ4" s="17" t="s">
        <v>484</v>
      </c>
      <c r="AS4" s="17"/>
      <c r="AU4" s="17" t="s">
        <v>483</v>
      </c>
      <c r="AV4" s="17" t="s">
        <v>484</v>
      </c>
    </row>
    <row r="5">
      <c r="A5" s="60">
        <v>1.0</v>
      </c>
      <c r="B5" s="17" t="s">
        <v>147</v>
      </c>
      <c r="C5" s="17" t="s">
        <v>148</v>
      </c>
      <c r="D5" s="30">
        <v>2.0</v>
      </c>
      <c r="F5" s="60">
        <v>1.0</v>
      </c>
      <c r="G5" s="32" t="s">
        <v>147</v>
      </c>
      <c r="H5" s="17" t="s">
        <v>148</v>
      </c>
      <c r="I5" s="30">
        <v>2.0</v>
      </c>
      <c r="K5" s="60">
        <v>1.0</v>
      </c>
      <c r="L5" s="17" t="s">
        <v>505</v>
      </c>
      <c r="M5" s="17" t="s">
        <v>279</v>
      </c>
      <c r="N5" s="30">
        <v>3.0</v>
      </c>
      <c r="P5" s="60">
        <v>1.0</v>
      </c>
      <c r="Q5" s="17" t="s">
        <v>183</v>
      </c>
      <c r="R5" s="17" t="s">
        <v>182</v>
      </c>
      <c r="S5" s="30">
        <v>4.0</v>
      </c>
      <c r="U5" s="60">
        <v>1.0</v>
      </c>
      <c r="V5" s="17" t="s">
        <v>183</v>
      </c>
      <c r="W5" s="17" t="s">
        <v>182</v>
      </c>
      <c r="X5" s="30">
        <v>3.0</v>
      </c>
      <c r="Z5" s="61">
        <v>1.0</v>
      </c>
      <c r="AA5" s="17" t="s">
        <v>372</v>
      </c>
      <c r="AB5" s="23" t="s">
        <v>373</v>
      </c>
      <c r="AC5" s="33">
        <v>2.0</v>
      </c>
      <c r="AD5" s="62"/>
      <c r="AE5" s="61">
        <v>1.0</v>
      </c>
      <c r="AF5" s="17" t="s">
        <v>372</v>
      </c>
      <c r="AG5" s="17" t="s">
        <v>403</v>
      </c>
      <c r="AH5" s="33">
        <v>2.0</v>
      </c>
      <c r="AI5" s="17"/>
      <c r="AJ5" s="61">
        <v>1.0</v>
      </c>
      <c r="AK5" s="17" t="s">
        <v>413</v>
      </c>
      <c r="AL5" s="17" t="s">
        <v>414</v>
      </c>
      <c r="AM5" s="33">
        <v>2.0</v>
      </c>
      <c r="AN5" s="17"/>
      <c r="AO5" s="60">
        <v>1.0</v>
      </c>
      <c r="AP5" s="17" t="s">
        <v>433</v>
      </c>
      <c r="AQ5" s="17" t="s">
        <v>225</v>
      </c>
      <c r="AR5" s="33">
        <v>1.0</v>
      </c>
      <c r="AS5" s="17"/>
      <c r="AT5" s="35">
        <v>1.0</v>
      </c>
      <c r="AU5" s="15" t="s">
        <v>433</v>
      </c>
      <c r="AV5" s="23" t="s">
        <v>225</v>
      </c>
      <c r="AW5" s="33">
        <v>1.0</v>
      </c>
    </row>
    <row r="6">
      <c r="A6" s="60">
        <v>2.0</v>
      </c>
      <c r="B6" s="17" t="s">
        <v>148</v>
      </c>
      <c r="C6" s="17" t="s">
        <v>149</v>
      </c>
      <c r="D6" s="30">
        <v>1.0</v>
      </c>
      <c r="F6" s="60">
        <v>2.0</v>
      </c>
      <c r="G6" s="32" t="s">
        <v>148</v>
      </c>
      <c r="H6" s="17" t="s">
        <v>149</v>
      </c>
      <c r="I6" s="30">
        <v>1.0</v>
      </c>
      <c r="K6" s="60">
        <v>2.0</v>
      </c>
      <c r="L6" s="17" t="s">
        <v>279</v>
      </c>
      <c r="M6" s="17" t="s">
        <v>280</v>
      </c>
      <c r="N6" s="30">
        <v>2.0</v>
      </c>
      <c r="P6" s="60">
        <v>2.0</v>
      </c>
      <c r="Q6" s="17" t="s">
        <v>182</v>
      </c>
      <c r="R6" s="17" t="s">
        <v>493</v>
      </c>
      <c r="S6" s="30">
        <v>2.0</v>
      </c>
      <c r="U6" s="60">
        <v>2.0</v>
      </c>
      <c r="V6" s="17" t="s">
        <v>182</v>
      </c>
      <c r="W6" s="17" t="s">
        <v>493</v>
      </c>
      <c r="X6" s="30">
        <v>2.0</v>
      </c>
      <c r="Z6" s="61">
        <v>2.0</v>
      </c>
      <c r="AA6" s="23" t="s">
        <v>373</v>
      </c>
      <c r="AB6" s="23" t="s">
        <v>374</v>
      </c>
      <c r="AC6" s="33">
        <v>2.0</v>
      </c>
      <c r="AD6" s="62"/>
      <c r="AE6" s="61">
        <v>2.0</v>
      </c>
      <c r="AF6" s="17" t="s">
        <v>403</v>
      </c>
      <c r="AG6" s="17" t="s">
        <v>404</v>
      </c>
      <c r="AH6" s="33">
        <v>3.0</v>
      </c>
      <c r="AI6" s="17"/>
      <c r="AJ6" s="61">
        <v>2.0</v>
      </c>
      <c r="AK6" s="17" t="s">
        <v>414</v>
      </c>
      <c r="AL6" s="17" t="s">
        <v>415</v>
      </c>
      <c r="AM6" s="33">
        <v>1.0</v>
      </c>
      <c r="AN6" s="17"/>
      <c r="AO6" s="60">
        <v>2.0</v>
      </c>
      <c r="AP6" s="17" t="s">
        <v>225</v>
      </c>
      <c r="AQ6" s="17" t="s">
        <v>226</v>
      </c>
      <c r="AR6" s="33">
        <v>1.0</v>
      </c>
      <c r="AS6" s="17"/>
      <c r="AT6" s="35">
        <v>2.0</v>
      </c>
      <c r="AU6" s="23" t="s">
        <v>225</v>
      </c>
      <c r="AV6" s="23" t="s">
        <v>463</v>
      </c>
      <c r="AW6" s="33">
        <v>1.0</v>
      </c>
    </row>
    <row r="7">
      <c r="A7" s="60">
        <v>3.0</v>
      </c>
      <c r="B7" s="17" t="s">
        <v>149</v>
      </c>
      <c r="C7" s="17" t="s">
        <v>150</v>
      </c>
      <c r="D7" s="30">
        <v>1.0</v>
      </c>
      <c r="F7" s="60">
        <v>3.0</v>
      </c>
      <c r="G7" s="32" t="s">
        <v>149</v>
      </c>
      <c r="H7" s="17" t="s">
        <v>150</v>
      </c>
      <c r="I7" s="30">
        <v>1.0</v>
      </c>
      <c r="K7" s="60">
        <v>3.0</v>
      </c>
      <c r="L7" s="17" t="s">
        <v>280</v>
      </c>
      <c r="M7" s="17" t="s">
        <v>281</v>
      </c>
      <c r="N7" s="30">
        <v>1.0</v>
      </c>
      <c r="P7" s="60">
        <v>3.0</v>
      </c>
      <c r="Q7" s="17" t="s">
        <v>493</v>
      </c>
      <c r="R7" s="17" t="s">
        <v>185</v>
      </c>
      <c r="S7" s="30">
        <v>1.0</v>
      </c>
      <c r="U7" s="60">
        <v>3.0</v>
      </c>
      <c r="V7" s="17" t="s">
        <v>493</v>
      </c>
      <c r="W7" s="17" t="s">
        <v>185</v>
      </c>
      <c r="X7" s="30">
        <v>2.0</v>
      </c>
      <c r="Z7" s="61">
        <v>3.0</v>
      </c>
      <c r="AA7" s="23" t="s">
        <v>374</v>
      </c>
      <c r="AB7" s="23" t="s">
        <v>375</v>
      </c>
      <c r="AC7" s="33">
        <v>1.0</v>
      </c>
      <c r="AD7" s="62"/>
      <c r="AE7" s="61">
        <v>3.0</v>
      </c>
      <c r="AF7" s="17" t="s">
        <v>404</v>
      </c>
      <c r="AG7" s="17" t="s">
        <v>405</v>
      </c>
      <c r="AH7" s="33">
        <v>1.0</v>
      </c>
      <c r="AI7" s="17"/>
      <c r="AJ7" s="61">
        <v>3.0</v>
      </c>
      <c r="AK7" s="17" t="s">
        <v>415</v>
      </c>
      <c r="AL7" s="17" t="s">
        <v>416</v>
      </c>
      <c r="AM7" s="33">
        <v>1.0</v>
      </c>
      <c r="AN7" s="17"/>
      <c r="AO7" s="60">
        <v>3.0</v>
      </c>
      <c r="AP7" s="17" t="s">
        <v>226</v>
      </c>
      <c r="AQ7" s="17" t="s">
        <v>227</v>
      </c>
      <c r="AR7" s="33">
        <v>1.0</v>
      </c>
      <c r="AS7" s="17"/>
      <c r="AT7" s="35">
        <v>3.0</v>
      </c>
      <c r="AU7" s="23" t="s">
        <v>463</v>
      </c>
      <c r="AV7" s="23" t="s">
        <v>464</v>
      </c>
      <c r="AW7" s="33">
        <v>1.0</v>
      </c>
    </row>
    <row r="8">
      <c r="A8" s="60">
        <v>4.0</v>
      </c>
      <c r="B8" s="17" t="s">
        <v>150</v>
      </c>
      <c r="C8" s="17" t="s">
        <v>151</v>
      </c>
      <c r="D8" s="30">
        <v>1.0</v>
      </c>
      <c r="F8" s="60">
        <v>4.0</v>
      </c>
      <c r="G8" s="32" t="s">
        <v>150</v>
      </c>
      <c r="H8" s="17" t="s">
        <v>494</v>
      </c>
      <c r="I8" s="30">
        <v>1.0</v>
      </c>
      <c r="K8" s="60">
        <v>4.0</v>
      </c>
      <c r="L8" s="17" t="s">
        <v>281</v>
      </c>
      <c r="M8" s="17" t="s">
        <v>282</v>
      </c>
      <c r="N8" s="30">
        <v>1.0</v>
      </c>
      <c r="P8" s="60">
        <v>4.0</v>
      </c>
      <c r="Q8" s="17" t="s">
        <v>185</v>
      </c>
      <c r="R8" s="17" t="s">
        <v>186</v>
      </c>
      <c r="S8" s="30">
        <v>1.0</v>
      </c>
      <c r="U8" s="60">
        <v>4.0</v>
      </c>
      <c r="V8" s="17" t="s">
        <v>185</v>
      </c>
      <c r="W8" s="17" t="s">
        <v>186</v>
      </c>
      <c r="X8" s="30">
        <v>1.0</v>
      </c>
      <c r="Z8" s="61">
        <v>4.0</v>
      </c>
      <c r="AA8" s="23" t="s">
        <v>375</v>
      </c>
      <c r="AB8" s="23" t="s">
        <v>376</v>
      </c>
      <c r="AC8" s="33">
        <v>1.0</v>
      </c>
      <c r="AD8" s="62"/>
      <c r="AE8" s="61">
        <v>4.0</v>
      </c>
      <c r="AF8" s="17" t="s">
        <v>405</v>
      </c>
      <c r="AG8" s="17" t="s">
        <v>406</v>
      </c>
      <c r="AH8" s="33">
        <v>1.0</v>
      </c>
      <c r="AI8" s="17"/>
      <c r="AJ8" s="61">
        <v>4.0</v>
      </c>
      <c r="AK8" s="17" t="s">
        <v>416</v>
      </c>
      <c r="AL8" s="17" t="s">
        <v>417</v>
      </c>
      <c r="AM8" s="33">
        <v>1.0</v>
      </c>
      <c r="AN8" s="17"/>
      <c r="AO8" s="33">
        <v>4.0</v>
      </c>
      <c r="AP8" s="17" t="s">
        <v>227</v>
      </c>
      <c r="AQ8" s="17" t="s">
        <v>434</v>
      </c>
      <c r="AR8" s="33">
        <v>2.0</v>
      </c>
      <c r="AS8" s="17"/>
      <c r="AT8" s="35">
        <v>4.0</v>
      </c>
      <c r="AU8" s="23" t="s">
        <v>464</v>
      </c>
      <c r="AV8" s="23" t="s">
        <v>465</v>
      </c>
      <c r="AW8" s="33">
        <v>2.0</v>
      </c>
    </row>
    <row r="9">
      <c r="A9" s="60">
        <v>5.0</v>
      </c>
      <c r="B9" s="17" t="s">
        <v>151</v>
      </c>
      <c r="C9" s="17" t="s">
        <v>152</v>
      </c>
      <c r="D9" s="30">
        <v>1.0</v>
      </c>
      <c r="F9" s="60">
        <v>5.0</v>
      </c>
      <c r="G9" s="32" t="s">
        <v>494</v>
      </c>
      <c r="H9" s="17" t="s">
        <v>495</v>
      </c>
      <c r="I9" s="30">
        <v>1.0</v>
      </c>
      <c r="K9" s="60">
        <v>5.0</v>
      </c>
      <c r="L9" s="17" t="s">
        <v>282</v>
      </c>
      <c r="M9" s="17" t="s">
        <v>283</v>
      </c>
      <c r="N9" s="30">
        <v>1.0</v>
      </c>
      <c r="P9" s="60">
        <v>5.0</v>
      </c>
      <c r="Q9" s="17" t="s">
        <v>186</v>
      </c>
      <c r="R9" s="17" t="s">
        <v>305</v>
      </c>
      <c r="S9" s="30">
        <v>2.0</v>
      </c>
      <c r="U9" s="60">
        <v>5.0</v>
      </c>
      <c r="V9" s="17" t="s">
        <v>186</v>
      </c>
      <c r="W9" s="17" t="s">
        <v>187</v>
      </c>
      <c r="X9" s="30">
        <v>2.0</v>
      </c>
      <c r="Z9" s="61">
        <v>5.0</v>
      </c>
      <c r="AA9" s="23" t="s">
        <v>376</v>
      </c>
      <c r="AB9" s="23" t="s">
        <v>377</v>
      </c>
      <c r="AC9" s="33">
        <v>1.0</v>
      </c>
      <c r="AD9" s="62"/>
      <c r="AE9" s="61">
        <v>5.0</v>
      </c>
      <c r="AF9" s="17" t="s">
        <v>406</v>
      </c>
      <c r="AG9" s="17" t="s">
        <v>407</v>
      </c>
      <c r="AH9" s="33">
        <v>1.0</v>
      </c>
      <c r="AI9" s="17"/>
      <c r="AJ9" s="61">
        <v>5.0</v>
      </c>
      <c r="AK9" s="17" t="s">
        <v>417</v>
      </c>
      <c r="AL9" s="17" t="s">
        <v>418</v>
      </c>
      <c r="AM9" s="33">
        <v>1.0</v>
      </c>
      <c r="AN9" s="17"/>
      <c r="AO9" s="33">
        <v>5.0</v>
      </c>
      <c r="AP9" s="17" t="s">
        <v>434</v>
      </c>
      <c r="AQ9" s="17" t="s">
        <v>435</v>
      </c>
      <c r="AR9" s="33">
        <v>2.0</v>
      </c>
      <c r="AS9" s="17"/>
      <c r="AT9" s="35">
        <v>5.0</v>
      </c>
      <c r="AU9" s="23" t="s">
        <v>465</v>
      </c>
      <c r="AV9" s="23" t="s">
        <v>466</v>
      </c>
      <c r="AW9" s="33">
        <v>1.0</v>
      </c>
    </row>
    <row r="10">
      <c r="A10" s="60">
        <v>6.0</v>
      </c>
      <c r="B10" s="17" t="s">
        <v>152</v>
      </c>
      <c r="C10" s="17" t="s">
        <v>153</v>
      </c>
      <c r="D10" s="30">
        <v>1.0</v>
      </c>
      <c r="F10" s="60">
        <v>6.0</v>
      </c>
      <c r="G10" s="32" t="s">
        <v>495</v>
      </c>
      <c r="H10" s="17" t="s">
        <v>153</v>
      </c>
      <c r="I10" s="30">
        <v>1.0</v>
      </c>
      <c r="K10" s="60">
        <v>6.0</v>
      </c>
      <c r="L10" s="17" t="s">
        <v>283</v>
      </c>
      <c r="M10" s="17" t="s">
        <v>284</v>
      </c>
      <c r="N10" s="30">
        <v>1.0</v>
      </c>
      <c r="P10" s="60">
        <v>6.0</v>
      </c>
      <c r="Q10" s="17" t="s">
        <v>305</v>
      </c>
      <c r="R10" s="17" t="s">
        <v>306</v>
      </c>
      <c r="S10" s="30">
        <v>1.0</v>
      </c>
      <c r="U10" s="60">
        <v>6.0</v>
      </c>
      <c r="V10" s="17" t="s">
        <v>187</v>
      </c>
      <c r="W10" s="17" t="s">
        <v>338</v>
      </c>
      <c r="X10" s="30">
        <v>2.0</v>
      </c>
      <c r="Z10" s="61">
        <v>6.0</v>
      </c>
      <c r="AA10" s="23" t="s">
        <v>377</v>
      </c>
      <c r="AB10" s="23" t="s">
        <v>378</v>
      </c>
      <c r="AC10" s="33">
        <v>1.0</v>
      </c>
      <c r="AD10" s="62"/>
      <c r="AE10" s="61">
        <v>6.0</v>
      </c>
      <c r="AF10" s="17" t="s">
        <v>407</v>
      </c>
      <c r="AG10" s="17" t="s">
        <v>408</v>
      </c>
      <c r="AH10" s="33">
        <v>1.0</v>
      </c>
      <c r="AI10" s="17"/>
      <c r="AJ10" s="61">
        <v>6.0</v>
      </c>
      <c r="AK10" s="17" t="s">
        <v>418</v>
      </c>
      <c r="AL10" s="17" t="s">
        <v>419</v>
      </c>
      <c r="AM10" s="33">
        <v>1.0</v>
      </c>
      <c r="AN10" s="17"/>
      <c r="AO10" s="33">
        <v>6.0</v>
      </c>
      <c r="AP10" s="17" t="s">
        <v>435</v>
      </c>
      <c r="AQ10" s="17" t="s">
        <v>436</v>
      </c>
      <c r="AR10" s="33">
        <v>1.0</v>
      </c>
      <c r="AS10" s="17"/>
      <c r="AT10" s="35">
        <v>6.0</v>
      </c>
      <c r="AU10" s="23" t="s">
        <v>466</v>
      </c>
      <c r="AV10" s="23" t="s">
        <v>467</v>
      </c>
      <c r="AW10" s="33">
        <v>1.0</v>
      </c>
    </row>
    <row r="11">
      <c r="A11" s="60">
        <v>7.0</v>
      </c>
      <c r="B11" s="17" t="s">
        <v>153</v>
      </c>
      <c r="C11" s="17" t="s">
        <v>154</v>
      </c>
      <c r="D11" s="30">
        <v>1.0</v>
      </c>
      <c r="F11" s="60">
        <v>7.0</v>
      </c>
      <c r="G11" s="32" t="s">
        <v>153</v>
      </c>
      <c r="H11" s="17" t="s">
        <v>496</v>
      </c>
      <c r="I11" s="30">
        <v>1.0</v>
      </c>
      <c r="K11" s="60">
        <v>7.0</v>
      </c>
      <c r="L11" s="17" t="s">
        <v>284</v>
      </c>
      <c r="M11" s="17" t="s">
        <v>285</v>
      </c>
      <c r="N11" s="30">
        <v>1.0</v>
      </c>
      <c r="P11" s="60">
        <v>7.0</v>
      </c>
      <c r="Q11" s="17" t="s">
        <v>306</v>
      </c>
      <c r="R11" s="17" t="s">
        <v>307</v>
      </c>
      <c r="S11" s="30">
        <v>1.0</v>
      </c>
      <c r="U11" s="60">
        <v>7.0</v>
      </c>
      <c r="V11" s="17" t="s">
        <v>338</v>
      </c>
      <c r="W11" s="17" t="s">
        <v>339</v>
      </c>
      <c r="X11" s="30">
        <v>1.0</v>
      </c>
      <c r="Z11" s="61">
        <v>7.0</v>
      </c>
      <c r="AA11" s="23" t="s">
        <v>378</v>
      </c>
      <c r="AB11" s="23" t="s">
        <v>379</v>
      </c>
      <c r="AC11" s="33">
        <v>1.0</v>
      </c>
      <c r="AD11" s="62"/>
      <c r="AE11" s="61">
        <v>7.0</v>
      </c>
      <c r="AF11" s="17" t="s">
        <v>408</v>
      </c>
      <c r="AG11" s="17" t="s">
        <v>331</v>
      </c>
      <c r="AH11" s="33">
        <v>2.0</v>
      </c>
      <c r="AI11" s="17"/>
      <c r="AJ11" s="61">
        <v>7.0</v>
      </c>
      <c r="AK11" s="17" t="s">
        <v>419</v>
      </c>
      <c r="AL11" s="17" t="s">
        <v>420</v>
      </c>
      <c r="AM11" s="33">
        <v>1.0</v>
      </c>
      <c r="AN11" s="17"/>
      <c r="AO11" s="33">
        <v>7.0</v>
      </c>
      <c r="AP11" s="17" t="s">
        <v>436</v>
      </c>
      <c r="AQ11" s="17" t="s">
        <v>437</v>
      </c>
      <c r="AR11" s="33">
        <v>1.0</v>
      </c>
      <c r="AS11" s="17"/>
      <c r="AT11" s="35">
        <v>7.0</v>
      </c>
      <c r="AU11" s="23" t="s">
        <v>467</v>
      </c>
      <c r="AV11" s="15" t="s">
        <v>521</v>
      </c>
      <c r="AW11" s="33">
        <v>1.0</v>
      </c>
    </row>
    <row r="12">
      <c r="A12" s="60">
        <v>8.0</v>
      </c>
      <c r="B12" s="17" t="s">
        <v>154</v>
      </c>
      <c r="C12" s="17" t="s">
        <v>155</v>
      </c>
      <c r="D12" s="30">
        <v>1.0</v>
      </c>
      <c r="F12" s="60">
        <v>8.0</v>
      </c>
      <c r="G12" s="32" t="s">
        <v>496</v>
      </c>
      <c r="H12" s="17" t="s">
        <v>497</v>
      </c>
      <c r="I12" s="30">
        <v>1.0</v>
      </c>
      <c r="K12" s="60">
        <v>8.0</v>
      </c>
      <c r="L12" s="17" t="s">
        <v>285</v>
      </c>
      <c r="M12" s="17" t="s">
        <v>286</v>
      </c>
      <c r="N12" s="30">
        <v>1.0</v>
      </c>
      <c r="P12" s="60">
        <v>8.0</v>
      </c>
      <c r="Q12" s="17" t="s">
        <v>307</v>
      </c>
      <c r="R12" s="17" t="s">
        <v>308</v>
      </c>
      <c r="S12" s="30">
        <v>1.0</v>
      </c>
      <c r="U12" s="60">
        <v>8.0</v>
      </c>
      <c r="V12" s="17" t="s">
        <v>339</v>
      </c>
      <c r="W12" s="17" t="s">
        <v>340</v>
      </c>
      <c r="X12" s="30">
        <v>1.0</v>
      </c>
      <c r="Z12" s="61">
        <v>8.0</v>
      </c>
      <c r="AA12" s="23" t="s">
        <v>379</v>
      </c>
      <c r="AB12" s="23" t="s">
        <v>380</v>
      </c>
      <c r="AC12" s="33">
        <v>2.0</v>
      </c>
      <c r="AD12" s="62"/>
      <c r="AE12" s="61">
        <v>8.0</v>
      </c>
      <c r="AF12" s="17" t="s">
        <v>331</v>
      </c>
      <c r="AG12" s="17" t="s">
        <v>517</v>
      </c>
      <c r="AH12" s="33">
        <v>1.0</v>
      </c>
      <c r="AI12" s="17"/>
      <c r="AJ12" s="61">
        <v>8.0</v>
      </c>
      <c r="AK12" s="17" t="s">
        <v>420</v>
      </c>
      <c r="AL12" s="17" t="s">
        <v>421</v>
      </c>
      <c r="AM12" s="33">
        <v>1.0</v>
      </c>
      <c r="AN12" s="17"/>
      <c r="AO12" s="33">
        <v>8.0</v>
      </c>
      <c r="AP12" s="17" t="s">
        <v>437</v>
      </c>
      <c r="AQ12" s="17" t="s">
        <v>215</v>
      </c>
      <c r="AR12" s="33">
        <v>1.0</v>
      </c>
      <c r="AS12" s="17"/>
      <c r="AT12" s="35">
        <v>8.0</v>
      </c>
      <c r="AU12" s="15" t="s">
        <v>521</v>
      </c>
      <c r="AV12" s="23" t="s">
        <v>171</v>
      </c>
      <c r="AW12" s="33">
        <v>1.0</v>
      </c>
    </row>
    <row r="13">
      <c r="A13" s="60">
        <v>9.0</v>
      </c>
      <c r="B13" s="17" t="s">
        <v>155</v>
      </c>
      <c r="C13" s="17" t="s">
        <v>156</v>
      </c>
      <c r="D13" s="30">
        <v>2.0</v>
      </c>
      <c r="F13" s="60">
        <v>9.0</v>
      </c>
      <c r="G13" s="32" t="s">
        <v>497</v>
      </c>
      <c r="H13" s="17" t="s">
        <v>498</v>
      </c>
      <c r="I13" s="30">
        <v>2.0</v>
      </c>
      <c r="K13" s="60">
        <v>9.0</v>
      </c>
      <c r="L13" s="17" t="s">
        <v>286</v>
      </c>
      <c r="M13" s="17" t="s">
        <v>287</v>
      </c>
      <c r="N13" s="30">
        <v>1.0</v>
      </c>
      <c r="P13" s="60">
        <v>9.0</v>
      </c>
      <c r="Q13" s="17" t="s">
        <v>308</v>
      </c>
      <c r="R13" s="17" t="s">
        <v>309</v>
      </c>
      <c r="S13" s="30">
        <v>1.0</v>
      </c>
      <c r="U13" s="60">
        <v>9.0</v>
      </c>
      <c r="V13" s="17" t="s">
        <v>340</v>
      </c>
      <c r="W13" s="17" t="s">
        <v>341</v>
      </c>
      <c r="X13" s="30">
        <v>1.0</v>
      </c>
      <c r="Z13" s="61">
        <v>9.0</v>
      </c>
      <c r="AA13" s="23" t="s">
        <v>380</v>
      </c>
      <c r="AB13" s="23" t="s">
        <v>381</v>
      </c>
      <c r="AC13" s="33">
        <v>1.0</v>
      </c>
      <c r="AD13" s="62"/>
      <c r="AE13" s="61">
        <v>9.0</v>
      </c>
      <c r="AF13" s="17" t="s">
        <v>517</v>
      </c>
      <c r="AG13" s="17" t="s">
        <v>188</v>
      </c>
      <c r="AH13" s="33">
        <v>2.0</v>
      </c>
      <c r="AI13" s="17"/>
      <c r="AJ13" s="61">
        <v>9.0</v>
      </c>
      <c r="AK13" s="17" t="s">
        <v>421</v>
      </c>
      <c r="AL13" s="17" t="s">
        <v>422</v>
      </c>
      <c r="AM13" s="33">
        <v>3.0</v>
      </c>
      <c r="AN13" s="17"/>
      <c r="AO13" s="33">
        <v>9.0</v>
      </c>
      <c r="AP13" s="17" t="s">
        <v>215</v>
      </c>
      <c r="AQ13" s="17" t="s">
        <v>214</v>
      </c>
      <c r="AR13" s="33">
        <v>1.0</v>
      </c>
      <c r="AS13" s="17"/>
      <c r="AT13" s="35">
        <v>9.0</v>
      </c>
      <c r="AU13" s="23" t="s">
        <v>171</v>
      </c>
      <c r="AV13" s="23" t="s">
        <v>522</v>
      </c>
      <c r="AW13" s="33">
        <v>1.0</v>
      </c>
    </row>
    <row r="14">
      <c r="A14" s="60">
        <v>10.0</v>
      </c>
      <c r="B14" s="17" t="s">
        <v>156</v>
      </c>
      <c r="C14" s="17" t="s">
        <v>157</v>
      </c>
      <c r="D14" s="30">
        <v>1.0</v>
      </c>
      <c r="F14" s="60">
        <v>10.0</v>
      </c>
      <c r="G14" s="32" t="s">
        <v>498</v>
      </c>
      <c r="H14" s="17" t="s">
        <v>499</v>
      </c>
      <c r="I14" s="30">
        <v>1.0</v>
      </c>
      <c r="K14" s="60">
        <v>10.0</v>
      </c>
      <c r="L14" s="17" t="s">
        <v>287</v>
      </c>
      <c r="M14" s="17" t="s">
        <v>288</v>
      </c>
      <c r="N14" s="30">
        <v>1.0</v>
      </c>
      <c r="P14" s="60">
        <v>10.0</v>
      </c>
      <c r="Q14" s="17" t="s">
        <v>309</v>
      </c>
      <c r="R14" s="17" t="s">
        <v>310</v>
      </c>
      <c r="S14" s="30">
        <v>1.0</v>
      </c>
      <c r="U14" s="60">
        <v>10.0</v>
      </c>
      <c r="V14" s="17" t="s">
        <v>341</v>
      </c>
      <c r="W14" s="17" t="s">
        <v>342</v>
      </c>
      <c r="X14" s="30">
        <v>1.0</v>
      </c>
      <c r="Z14" s="61">
        <v>10.0</v>
      </c>
      <c r="AA14" s="23" t="s">
        <v>381</v>
      </c>
      <c r="AB14" s="23" t="s">
        <v>515</v>
      </c>
      <c r="AC14" s="33">
        <v>1.0</v>
      </c>
      <c r="AD14" s="62"/>
      <c r="AE14" s="61">
        <v>10.0</v>
      </c>
      <c r="AF14" s="17" t="s">
        <v>188</v>
      </c>
      <c r="AG14" s="17" t="s">
        <v>189</v>
      </c>
      <c r="AH14" s="33">
        <v>1.0</v>
      </c>
      <c r="AI14" s="17"/>
      <c r="AJ14" s="61">
        <v>10.0</v>
      </c>
      <c r="AK14" s="17" t="s">
        <v>422</v>
      </c>
      <c r="AL14" s="17" t="s">
        <v>423</v>
      </c>
      <c r="AM14" s="33">
        <v>2.0</v>
      </c>
      <c r="AN14" s="17"/>
      <c r="AO14" s="33">
        <v>10.0</v>
      </c>
      <c r="AP14" s="17" t="s">
        <v>214</v>
      </c>
      <c r="AQ14" s="17" t="s">
        <v>438</v>
      </c>
      <c r="AR14" s="33">
        <v>1.0</v>
      </c>
      <c r="AS14" s="17"/>
      <c r="AT14" s="35">
        <v>10.0</v>
      </c>
      <c r="AU14" s="23" t="s">
        <v>522</v>
      </c>
      <c r="AV14" s="23" t="s">
        <v>523</v>
      </c>
      <c r="AW14" s="33">
        <v>1.0</v>
      </c>
    </row>
    <row r="15">
      <c r="A15" s="60">
        <v>11.0</v>
      </c>
      <c r="B15" s="17" t="s">
        <v>157</v>
      </c>
      <c r="C15" s="17" t="s">
        <v>487</v>
      </c>
      <c r="D15" s="30">
        <v>1.0</v>
      </c>
      <c r="F15" s="60">
        <v>11.0</v>
      </c>
      <c r="G15" s="32" t="s">
        <v>499</v>
      </c>
      <c r="H15" s="17" t="s">
        <v>500</v>
      </c>
      <c r="I15" s="30">
        <v>1.0</v>
      </c>
      <c r="K15" s="60">
        <v>11.0</v>
      </c>
      <c r="L15" s="17" t="s">
        <v>288</v>
      </c>
      <c r="M15" s="17" t="s">
        <v>289</v>
      </c>
      <c r="N15" s="30">
        <v>1.0</v>
      </c>
      <c r="P15" s="60">
        <v>11.0</v>
      </c>
      <c r="Q15" s="17" t="s">
        <v>310</v>
      </c>
      <c r="R15" s="17" t="s">
        <v>311</v>
      </c>
      <c r="S15" s="30">
        <v>1.0</v>
      </c>
      <c r="U15" s="60">
        <v>11.0</v>
      </c>
      <c r="V15" s="17" t="s">
        <v>342</v>
      </c>
      <c r="W15" s="17" t="s">
        <v>343</v>
      </c>
      <c r="X15" s="30">
        <v>1.0</v>
      </c>
      <c r="Z15" s="61">
        <v>11.0</v>
      </c>
      <c r="AA15" s="23" t="s">
        <v>515</v>
      </c>
      <c r="AB15" s="17" t="s">
        <v>383</v>
      </c>
      <c r="AC15" s="33">
        <v>1.0</v>
      </c>
      <c r="AD15" s="62"/>
      <c r="AE15" s="61">
        <v>11.0</v>
      </c>
      <c r="AF15" s="17" t="s">
        <v>189</v>
      </c>
      <c r="AG15" s="17" t="s">
        <v>190</v>
      </c>
      <c r="AH15" s="33">
        <v>1.0</v>
      </c>
      <c r="AI15" s="17"/>
      <c r="AJ15" s="61">
        <v>11.0</v>
      </c>
      <c r="AK15" s="17" t="s">
        <v>423</v>
      </c>
      <c r="AL15" s="17" t="s">
        <v>211</v>
      </c>
      <c r="AM15" s="33">
        <v>2.0</v>
      </c>
      <c r="AN15" s="17"/>
      <c r="AO15" s="33">
        <v>11.0</v>
      </c>
      <c r="AP15" s="17" t="s">
        <v>438</v>
      </c>
      <c r="AQ15" s="17" t="s">
        <v>439</v>
      </c>
      <c r="AR15" s="33">
        <v>2.0</v>
      </c>
      <c r="AS15" s="17"/>
      <c r="AT15" s="35">
        <v>11.0</v>
      </c>
      <c r="AU15" s="23" t="s">
        <v>523</v>
      </c>
      <c r="AV15" s="15" t="s">
        <v>468</v>
      </c>
      <c r="AW15" s="33">
        <v>1.0</v>
      </c>
    </row>
    <row r="16">
      <c r="A16" s="60">
        <v>12.0</v>
      </c>
      <c r="B16" s="17" t="s">
        <v>487</v>
      </c>
      <c r="C16" s="17" t="s">
        <v>66</v>
      </c>
      <c r="D16" s="30">
        <v>1.0</v>
      </c>
      <c r="F16" s="60">
        <v>12.0</v>
      </c>
      <c r="G16" s="32" t="s">
        <v>500</v>
      </c>
      <c r="H16" s="17" t="s">
        <v>501</v>
      </c>
      <c r="I16" s="30">
        <v>1.0</v>
      </c>
      <c r="K16" s="60">
        <v>12.0</v>
      </c>
      <c r="L16" s="17" t="s">
        <v>289</v>
      </c>
      <c r="M16" s="17" t="s">
        <v>290</v>
      </c>
      <c r="N16" s="30">
        <v>1.0</v>
      </c>
      <c r="P16" s="60">
        <v>12.0</v>
      </c>
      <c r="Q16" s="17" t="s">
        <v>311</v>
      </c>
      <c r="R16" s="17" t="s">
        <v>312</v>
      </c>
      <c r="S16" s="30">
        <v>1.0</v>
      </c>
      <c r="U16" s="60">
        <v>12.0</v>
      </c>
      <c r="V16" s="17" t="s">
        <v>343</v>
      </c>
      <c r="W16" s="17" t="s">
        <v>344</v>
      </c>
      <c r="X16" s="30">
        <v>1.0</v>
      </c>
      <c r="Z16" s="61">
        <v>12.0</v>
      </c>
      <c r="AA16" s="17" t="s">
        <v>383</v>
      </c>
      <c r="AB16" s="17" t="s">
        <v>384</v>
      </c>
      <c r="AC16" s="33">
        <v>1.0</v>
      </c>
      <c r="AD16" s="17"/>
      <c r="AE16" s="61">
        <v>12.0</v>
      </c>
      <c r="AF16" s="17" t="s">
        <v>190</v>
      </c>
      <c r="AG16" s="17" t="s">
        <v>220</v>
      </c>
      <c r="AH16" s="33">
        <v>1.0</v>
      </c>
      <c r="AI16" s="17"/>
      <c r="AJ16" s="61">
        <v>12.0</v>
      </c>
      <c r="AK16" s="17" t="s">
        <v>211</v>
      </c>
      <c r="AL16" s="17" t="s">
        <v>424</v>
      </c>
      <c r="AM16" s="33">
        <v>2.0</v>
      </c>
      <c r="AN16" s="17"/>
      <c r="AO16" s="33">
        <v>12.0</v>
      </c>
      <c r="AP16" s="17" t="s">
        <v>439</v>
      </c>
      <c r="AQ16" s="17" t="s">
        <v>440</v>
      </c>
      <c r="AR16" s="33">
        <v>1.0</v>
      </c>
      <c r="AS16" s="17"/>
      <c r="AT16" s="35">
        <v>12.0</v>
      </c>
      <c r="AU16" s="15" t="s">
        <v>468</v>
      </c>
      <c r="AV16" s="15" t="s">
        <v>469</v>
      </c>
      <c r="AW16" s="33">
        <v>1.0</v>
      </c>
    </row>
    <row r="17">
      <c r="A17" s="60">
        <v>13.0</v>
      </c>
      <c r="B17" s="17" t="s">
        <v>66</v>
      </c>
      <c r="C17" s="17" t="s">
        <v>67</v>
      </c>
      <c r="D17" s="30">
        <v>1.0</v>
      </c>
      <c r="F17" s="60">
        <v>13.0</v>
      </c>
      <c r="G17" s="32" t="s">
        <v>501</v>
      </c>
      <c r="H17" s="17" t="s">
        <v>502</v>
      </c>
      <c r="I17" s="30">
        <v>1.0</v>
      </c>
      <c r="K17" s="60">
        <v>13.0</v>
      </c>
      <c r="L17" s="17" t="s">
        <v>290</v>
      </c>
      <c r="M17" s="17" t="s">
        <v>291</v>
      </c>
      <c r="N17" s="30">
        <v>1.0</v>
      </c>
      <c r="P17" s="60">
        <v>13.0</v>
      </c>
      <c r="Q17" s="17" t="s">
        <v>312</v>
      </c>
      <c r="R17" s="17" t="s">
        <v>313</v>
      </c>
      <c r="S17" s="30">
        <v>1.0</v>
      </c>
      <c r="U17" s="60">
        <v>13.0</v>
      </c>
      <c r="V17" s="17" t="s">
        <v>344</v>
      </c>
      <c r="W17" s="17" t="s">
        <v>345</v>
      </c>
      <c r="X17" s="30">
        <v>2.0</v>
      </c>
      <c r="Z17" s="61">
        <v>13.0</v>
      </c>
      <c r="AA17" s="17" t="s">
        <v>384</v>
      </c>
      <c r="AB17" s="15" t="s">
        <v>220</v>
      </c>
      <c r="AC17" s="34">
        <v>2.0</v>
      </c>
      <c r="AD17" s="17"/>
      <c r="AE17" s="61">
        <v>13.0</v>
      </c>
      <c r="AF17" s="17" t="s">
        <v>220</v>
      </c>
      <c r="AG17" s="17" t="s">
        <v>410</v>
      </c>
      <c r="AH17" s="33">
        <v>1.0</v>
      </c>
      <c r="AI17" s="17"/>
      <c r="AJ17" s="61">
        <v>13.0</v>
      </c>
      <c r="AK17" s="17" t="s">
        <v>424</v>
      </c>
      <c r="AL17" s="17" t="s">
        <v>425</v>
      </c>
      <c r="AM17" s="33">
        <v>1.0</v>
      </c>
      <c r="AN17" s="17"/>
      <c r="AO17" s="33">
        <v>13.0</v>
      </c>
      <c r="AP17" s="17" t="s">
        <v>440</v>
      </c>
      <c r="AQ17" s="17" t="s">
        <v>441</v>
      </c>
      <c r="AR17" s="33">
        <v>2.0</v>
      </c>
      <c r="AS17" s="17"/>
      <c r="AT17" s="35">
        <v>13.0</v>
      </c>
      <c r="AU17" s="15" t="s">
        <v>469</v>
      </c>
      <c r="AV17" s="15" t="s">
        <v>470</v>
      </c>
      <c r="AW17" s="33">
        <v>1.0</v>
      </c>
    </row>
    <row r="18">
      <c r="A18" s="60">
        <v>14.0</v>
      </c>
      <c r="B18" s="17" t="s">
        <v>67</v>
      </c>
      <c r="C18" s="17" t="s">
        <v>69</v>
      </c>
      <c r="D18" s="30">
        <v>1.0</v>
      </c>
      <c r="F18" s="60">
        <v>14.0</v>
      </c>
      <c r="G18" s="32" t="s">
        <v>502</v>
      </c>
      <c r="H18" s="17" t="s">
        <v>503</v>
      </c>
      <c r="I18" s="30">
        <v>1.0</v>
      </c>
      <c r="K18" s="60">
        <v>14.0</v>
      </c>
      <c r="L18" s="17" t="s">
        <v>291</v>
      </c>
      <c r="M18" s="17" t="s">
        <v>292</v>
      </c>
      <c r="N18" s="30">
        <v>1.0</v>
      </c>
      <c r="P18" s="60">
        <v>14.0</v>
      </c>
      <c r="Q18" s="17" t="s">
        <v>313</v>
      </c>
      <c r="R18" s="17" t="s">
        <v>314</v>
      </c>
      <c r="S18" s="30">
        <v>1.0</v>
      </c>
      <c r="U18" s="60">
        <v>14.0</v>
      </c>
      <c r="V18" s="17" t="s">
        <v>345</v>
      </c>
      <c r="W18" s="17" t="s">
        <v>346</v>
      </c>
      <c r="X18" s="30">
        <v>3.0</v>
      </c>
      <c r="Z18" s="61">
        <v>14.0</v>
      </c>
      <c r="AA18" s="15" t="s">
        <v>220</v>
      </c>
      <c r="AB18" s="15" t="s">
        <v>219</v>
      </c>
      <c r="AC18" s="35">
        <v>1.0</v>
      </c>
      <c r="AD18" s="17"/>
      <c r="AE18" s="61">
        <v>14.0</v>
      </c>
      <c r="AF18" s="17" t="s">
        <v>410</v>
      </c>
      <c r="AG18" s="17" t="s">
        <v>411</v>
      </c>
      <c r="AH18" s="33">
        <v>1.0</v>
      </c>
      <c r="AI18" s="17"/>
      <c r="AJ18" s="61">
        <v>14.0</v>
      </c>
      <c r="AK18" s="17" t="s">
        <v>425</v>
      </c>
      <c r="AL18" s="17" t="s">
        <v>426</v>
      </c>
      <c r="AM18" s="33">
        <v>2.0</v>
      </c>
      <c r="AN18" s="17"/>
      <c r="AO18" s="33">
        <v>14.0</v>
      </c>
      <c r="AP18" s="17" t="s">
        <v>441</v>
      </c>
      <c r="AQ18" s="17" t="s">
        <v>442</v>
      </c>
      <c r="AR18" s="33">
        <v>2.0</v>
      </c>
      <c r="AS18" s="17"/>
      <c r="AT18" s="35">
        <v>14.0</v>
      </c>
      <c r="AU18" s="15" t="s">
        <v>470</v>
      </c>
      <c r="AV18" s="15" t="s">
        <v>471</v>
      </c>
      <c r="AW18" s="33">
        <v>1.0</v>
      </c>
    </row>
    <row r="19">
      <c r="A19" s="60">
        <v>15.0</v>
      </c>
      <c r="B19" s="17" t="s">
        <v>69</v>
      </c>
      <c r="C19" s="17" t="s">
        <v>165</v>
      </c>
      <c r="D19" s="30">
        <v>1.0</v>
      </c>
      <c r="F19" s="60">
        <v>15.0</v>
      </c>
      <c r="G19" s="32" t="s">
        <v>503</v>
      </c>
      <c r="H19" s="17" t="s">
        <v>504</v>
      </c>
      <c r="I19" s="30">
        <v>1.0</v>
      </c>
      <c r="K19" s="60">
        <v>15.0</v>
      </c>
      <c r="L19" s="17" t="s">
        <v>292</v>
      </c>
      <c r="M19" s="17" t="s">
        <v>293</v>
      </c>
      <c r="N19" s="30">
        <v>1.0</v>
      </c>
      <c r="P19" s="60">
        <v>15.0</v>
      </c>
      <c r="Q19" s="17" t="s">
        <v>314</v>
      </c>
      <c r="R19" s="17" t="s">
        <v>315</v>
      </c>
      <c r="S19" s="30">
        <v>1.0</v>
      </c>
      <c r="U19" s="60">
        <v>15.0</v>
      </c>
      <c r="V19" s="17" t="s">
        <v>346</v>
      </c>
      <c r="W19" s="17" t="s">
        <v>347</v>
      </c>
      <c r="X19" s="30">
        <v>2.0</v>
      </c>
      <c r="Z19" s="61">
        <v>15.0</v>
      </c>
      <c r="AA19" s="15" t="s">
        <v>219</v>
      </c>
      <c r="AB19" s="15" t="s">
        <v>385</v>
      </c>
      <c r="AC19" s="35">
        <v>1.0</v>
      </c>
      <c r="AD19" s="17"/>
      <c r="AE19" s="61">
        <v>15.0</v>
      </c>
      <c r="AF19" s="17" t="s">
        <v>411</v>
      </c>
      <c r="AG19" s="17" t="s">
        <v>412</v>
      </c>
      <c r="AH19" s="33">
        <v>1.0</v>
      </c>
      <c r="AI19" s="17"/>
      <c r="AJ19" s="61">
        <v>15.0</v>
      </c>
      <c r="AK19" s="17" t="s">
        <v>426</v>
      </c>
      <c r="AL19" s="17" t="s">
        <v>427</v>
      </c>
      <c r="AM19" s="33">
        <v>1.0</v>
      </c>
      <c r="AN19" s="17"/>
      <c r="AO19" s="33">
        <v>15.0</v>
      </c>
      <c r="AP19" s="17" t="s">
        <v>442</v>
      </c>
      <c r="AQ19" s="23" t="s">
        <v>199</v>
      </c>
      <c r="AR19" s="33">
        <v>1.0</v>
      </c>
      <c r="AS19" s="17"/>
      <c r="AT19" s="35">
        <v>15.0</v>
      </c>
      <c r="AU19" s="15" t="s">
        <v>471</v>
      </c>
      <c r="AV19" s="15" t="s">
        <v>524</v>
      </c>
      <c r="AW19" s="33">
        <v>1.0</v>
      </c>
    </row>
    <row r="20">
      <c r="A20" s="60">
        <v>16.0</v>
      </c>
      <c r="B20" s="17" t="s">
        <v>165</v>
      </c>
      <c r="C20" s="17" t="s">
        <v>166</v>
      </c>
      <c r="D20" s="30">
        <v>2.0</v>
      </c>
      <c r="F20" s="60">
        <v>16.0</v>
      </c>
      <c r="G20" s="32" t="s">
        <v>504</v>
      </c>
      <c r="H20" s="17" t="s">
        <v>188</v>
      </c>
      <c r="I20" s="30">
        <v>2.0</v>
      </c>
      <c r="K20" s="60">
        <v>16.0</v>
      </c>
      <c r="L20" s="17" t="s">
        <v>293</v>
      </c>
      <c r="M20" s="17" t="s">
        <v>196</v>
      </c>
      <c r="N20" s="30">
        <v>2.0</v>
      </c>
      <c r="P20" s="60">
        <v>16.0</v>
      </c>
      <c r="Q20" s="17" t="s">
        <v>315</v>
      </c>
      <c r="R20" s="17" t="s">
        <v>316</v>
      </c>
      <c r="S20" s="30">
        <v>1.0</v>
      </c>
      <c r="U20" s="60">
        <v>16.0</v>
      </c>
      <c r="V20" s="17" t="s">
        <v>347</v>
      </c>
      <c r="W20" s="17" t="s">
        <v>348</v>
      </c>
      <c r="X20" s="30">
        <v>4.0</v>
      </c>
      <c r="Z20" s="61">
        <v>16.0</v>
      </c>
      <c r="AA20" s="15" t="s">
        <v>385</v>
      </c>
      <c r="AB20" s="15" t="s">
        <v>386</v>
      </c>
      <c r="AC20" s="35">
        <v>1.0</v>
      </c>
      <c r="AD20" s="17"/>
      <c r="AE20" s="61">
        <v>16.0</v>
      </c>
      <c r="AF20" s="17" t="s">
        <v>412</v>
      </c>
      <c r="AG20" s="17" t="s">
        <v>387</v>
      </c>
      <c r="AH20" s="33">
        <v>1.0</v>
      </c>
      <c r="AI20" s="17"/>
      <c r="AJ20" s="61">
        <v>16.0</v>
      </c>
      <c r="AK20" s="17" t="s">
        <v>427</v>
      </c>
      <c r="AL20" s="17" t="s">
        <v>428</v>
      </c>
      <c r="AM20" s="33">
        <v>1.0</v>
      </c>
      <c r="AN20" s="17"/>
      <c r="AO20" s="33">
        <v>16.0</v>
      </c>
      <c r="AP20" s="23" t="s">
        <v>199</v>
      </c>
      <c r="AQ20" s="23" t="s">
        <v>198</v>
      </c>
      <c r="AR20" s="33">
        <v>1.0</v>
      </c>
      <c r="AS20" s="17"/>
      <c r="AT20" s="35">
        <v>16.0</v>
      </c>
      <c r="AU20" s="15" t="s">
        <v>524</v>
      </c>
      <c r="AV20" s="15" t="s">
        <v>473</v>
      </c>
      <c r="AW20" s="33">
        <v>1.0</v>
      </c>
    </row>
    <row r="21">
      <c r="A21" s="60">
        <v>17.0</v>
      </c>
      <c r="B21" s="17" t="s">
        <v>166</v>
      </c>
      <c r="C21" s="17" t="s">
        <v>167</v>
      </c>
      <c r="D21" s="30">
        <v>1.0</v>
      </c>
      <c r="F21" s="60">
        <v>17.0</v>
      </c>
      <c r="G21" s="32" t="s">
        <v>188</v>
      </c>
      <c r="H21" s="17" t="s">
        <v>189</v>
      </c>
      <c r="I21" s="30">
        <v>1.0</v>
      </c>
      <c r="K21" s="60">
        <v>17.0</v>
      </c>
      <c r="L21" s="17" t="s">
        <v>196</v>
      </c>
      <c r="M21" s="17" t="s">
        <v>197</v>
      </c>
      <c r="N21" s="30">
        <v>1.0</v>
      </c>
      <c r="P21" s="60">
        <v>17.0</v>
      </c>
      <c r="Q21" s="17" t="s">
        <v>316</v>
      </c>
      <c r="R21" s="17" t="s">
        <v>317</v>
      </c>
      <c r="S21" s="30">
        <v>1.0</v>
      </c>
      <c r="U21" s="60">
        <v>17.0</v>
      </c>
      <c r="V21" s="17" t="s">
        <v>348</v>
      </c>
      <c r="W21" s="17" t="s">
        <v>349</v>
      </c>
      <c r="X21" s="30">
        <v>2.0</v>
      </c>
      <c r="Z21" s="61">
        <v>17.0</v>
      </c>
      <c r="AA21" s="15" t="s">
        <v>386</v>
      </c>
      <c r="AB21" s="15" t="s">
        <v>387</v>
      </c>
      <c r="AC21" s="35">
        <v>1.0</v>
      </c>
      <c r="AD21" s="17"/>
      <c r="AE21" s="61">
        <v>17.0</v>
      </c>
      <c r="AF21" s="17" t="s">
        <v>387</v>
      </c>
      <c r="AG21" s="17" t="s">
        <v>388</v>
      </c>
      <c r="AH21" s="33">
        <v>1.0</v>
      </c>
      <c r="AI21" s="17"/>
      <c r="AJ21" s="61">
        <v>17.0</v>
      </c>
      <c r="AK21" s="17" t="s">
        <v>428</v>
      </c>
      <c r="AL21" s="17" t="s">
        <v>96</v>
      </c>
      <c r="AM21" s="33">
        <v>1.0</v>
      </c>
      <c r="AN21" s="17"/>
      <c r="AO21" s="33">
        <v>17.0</v>
      </c>
      <c r="AP21" s="23" t="s">
        <v>198</v>
      </c>
      <c r="AQ21" s="23" t="s">
        <v>443</v>
      </c>
      <c r="AR21" s="33">
        <v>1.0</v>
      </c>
      <c r="AS21" s="17"/>
      <c r="AT21" s="35">
        <v>17.0</v>
      </c>
      <c r="AU21" s="15" t="s">
        <v>473</v>
      </c>
      <c r="AV21" s="15" t="s">
        <v>474</v>
      </c>
      <c r="AW21" s="33">
        <v>1.0</v>
      </c>
    </row>
    <row r="22">
      <c r="A22" s="60">
        <v>18.0</v>
      </c>
      <c r="B22" s="17" t="s">
        <v>167</v>
      </c>
      <c r="C22" s="17" t="s">
        <v>168</v>
      </c>
      <c r="D22" s="30">
        <v>1.0</v>
      </c>
      <c r="F22" s="60">
        <v>18.0</v>
      </c>
      <c r="G22" s="32" t="s">
        <v>189</v>
      </c>
      <c r="H22" s="17" t="s">
        <v>190</v>
      </c>
      <c r="I22" s="30">
        <v>1.0</v>
      </c>
      <c r="K22" s="60">
        <v>18.0</v>
      </c>
      <c r="L22" s="17" t="s">
        <v>197</v>
      </c>
      <c r="M22" s="17" t="s">
        <v>194</v>
      </c>
      <c r="N22" s="30">
        <v>2.0</v>
      </c>
      <c r="P22" s="60">
        <v>18.0</v>
      </c>
      <c r="Q22" s="17" t="s">
        <v>317</v>
      </c>
      <c r="R22" s="17" t="s">
        <v>318</v>
      </c>
      <c r="S22" s="30">
        <v>2.0</v>
      </c>
      <c r="U22" s="60">
        <v>18.0</v>
      </c>
      <c r="V22" s="17" t="s">
        <v>349</v>
      </c>
      <c r="W22" s="17" t="s">
        <v>350</v>
      </c>
      <c r="X22" s="30">
        <v>2.0</v>
      </c>
      <c r="Z22" s="61">
        <v>18.0</v>
      </c>
      <c r="AA22" s="15" t="s">
        <v>387</v>
      </c>
      <c r="AB22" s="15" t="s">
        <v>388</v>
      </c>
      <c r="AC22" s="35">
        <v>1.0</v>
      </c>
      <c r="AD22" s="33"/>
      <c r="AE22" s="61">
        <v>18.0</v>
      </c>
      <c r="AF22" s="17" t="s">
        <v>388</v>
      </c>
      <c r="AG22" s="17"/>
      <c r="AH22" s="17"/>
      <c r="AI22" s="17"/>
      <c r="AJ22" s="61">
        <v>18.0</v>
      </c>
      <c r="AK22" s="17" t="s">
        <v>96</v>
      </c>
      <c r="AL22" s="17" t="s">
        <v>429</v>
      </c>
      <c r="AM22" s="33">
        <v>2.0</v>
      </c>
      <c r="AN22" s="17"/>
      <c r="AO22" s="33">
        <v>18.0</v>
      </c>
      <c r="AP22" s="23" t="s">
        <v>443</v>
      </c>
      <c r="AQ22" s="23" t="s">
        <v>444</v>
      </c>
      <c r="AR22" s="33">
        <v>1.0</v>
      </c>
      <c r="AS22" s="17"/>
      <c r="AT22" s="35">
        <v>18.0</v>
      </c>
      <c r="AU22" s="15" t="s">
        <v>474</v>
      </c>
      <c r="AV22" s="15" t="s">
        <v>475</v>
      </c>
      <c r="AW22" s="33">
        <v>1.0</v>
      </c>
    </row>
    <row r="23">
      <c r="A23" s="60">
        <v>19.0</v>
      </c>
      <c r="B23" s="17" t="s">
        <v>168</v>
      </c>
      <c r="C23" s="17" t="s">
        <v>169</v>
      </c>
      <c r="D23" s="30">
        <v>1.0</v>
      </c>
      <c r="F23" s="60">
        <v>19.0</v>
      </c>
      <c r="G23" s="32" t="s">
        <v>190</v>
      </c>
      <c r="H23" s="17" t="s">
        <v>263</v>
      </c>
      <c r="I23" s="30">
        <v>1.0</v>
      </c>
      <c r="K23" s="60">
        <v>19.0</v>
      </c>
      <c r="L23" s="17" t="s">
        <v>194</v>
      </c>
      <c r="M23" s="17" t="s">
        <v>294</v>
      </c>
      <c r="N23" s="30">
        <v>1.0</v>
      </c>
      <c r="P23" s="60">
        <v>19.0</v>
      </c>
      <c r="Q23" s="17" t="s">
        <v>318</v>
      </c>
      <c r="R23" s="17" t="s">
        <v>319</v>
      </c>
      <c r="S23" s="30">
        <v>1.0</v>
      </c>
      <c r="U23" s="60">
        <v>19.0</v>
      </c>
      <c r="V23" s="17" t="s">
        <v>350</v>
      </c>
      <c r="W23" s="17" t="s">
        <v>351</v>
      </c>
      <c r="X23" s="30">
        <v>3.0</v>
      </c>
      <c r="Z23" s="61">
        <v>19.0</v>
      </c>
      <c r="AA23" s="15" t="s">
        <v>388</v>
      </c>
      <c r="AB23" s="15" t="s">
        <v>389</v>
      </c>
      <c r="AC23" s="34">
        <v>1.0</v>
      </c>
      <c r="AJ23" s="61">
        <v>19.0</v>
      </c>
      <c r="AK23" s="17" t="s">
        <v>429</v>
      </c>
      <c r="AL23" s="17" t="s">
        <v>430</v>
      </c>
      <c r="AM23" s="33">
        <v>1.0</v>
      </c>
      <c r="AN23" s="63"/>
      <c r="AO23" s="60">
        <v>19.0</v>
      </c>
      <c r="AP23" s="23" t="s">
        <v>444</v>
      </c>
      <c r="AQ23" s="23" t="s">
        <v>445</v>
      </c>
      <c r="AR23" s="33">
        <v>2.0</v>
      </c>
      <c r="AS23" s="18"/>
      <c r="AT23" s="35">
        <v>19.0</v>
      </c>
      <c r="AU23" s="15" t="s">
        <v>475</v>
      </c>
      <c r="AV23" s="15" t="s">
        <v>476</v>
      </c>
      <c r="AW23" s="33">
        <v>1.0</v>
      </c>
    </row>
    <row r="24">
      <c r="A24" s="60">
        <v>20.0</v>
      </c>
      <c r="B24" s="17" t="s">
        <v>169</v>
      </c>
      <c r="C24" s="17" t="s">
        <v>170</v>
      </c>
      <c r="D24" s="30">
        <v>1.0</v>
      </c>
      <c r="F24" s="60">
        <v>20.0</v>
      </c>
      <c r="G24" s="32" t="s">
        <v>263</v>
      </c>
      <c r="H24" s="17" t="s">
        <v>264</v>
      </c>
      <c r="I24" s="30">
        <v>1.0</v>
      </c>
      <c r="K24" s="60">
        <v>20.0</v>
      </c>
      <c r="L24" s="17" t="s">
        <v>294</v>
      </c>
      <c r="M24" s="17" t="s">
        <v>295</v>
      </c>
      <c r="N24" s="30">
        <v>2.0</v>
      </c>
      <c r="P24" s="60">
        <v>20.0</v>
      </c>
      <c r="Q24" s="17" t="s">
        <v>319</v>
      </c>
      <c r="R24" s="17" t="s">
        <v>320</v>
      </c>
      <c r="S24" s="30">
        <v>1.0</v>
      </c>
      <c r="U24" s="60">
        <v>20.0</v>
      </c>
      <c r="V24" s="17" t="s">
        <v>351</v>
      </c>
      <c r="W24" s="17" t="s">
        <v>352</v>
      </c>
      <c r="X24" s="30">
        <v>2.0</v>
      </c>
      <c r="Z24" s="61">
        <v>20.0</v>
      </c>
      <c r="AA24" s="15" t="s">
        <v>389</v>
      </c>
      <c r="AB24" s="15" t="s">
        <v>390</v>
      </c>
      <c r="AC24" s="34">
        <v>1.0</v>
      </c>
      <c r="AJ24" s="61">
        <v>20.0</v>
      </c>
      <c r="AK24" s="17" t="s">
        <v>430</v>
      </c>
      <c r="AL24" s="17" t="s">
        <v>431</v>
      </c>
      <c r="AM24" s="37">
        <v>1.0</v>
      </c>
      <c r="AN24" s="17"/>
      <c r="AO24" s="60">
        <v>20.0</v>
      </c>
      <c r="AP24" s="23" t="s">
        <v>445</v>
      </c>
      <c r="AQ24" s="23" t="s">
        <v>446</v>
      </c>
      <c r="AR24" s="37">
        <v>2.0</v>
      </c>
      <c r="AS24" s="17"/>
      <c r="AT24" s="35">
        <v>20.0</v>
      </c>
      <c r="AU24" s="15" t="s">
        <v>476</v>
      </c>
      <c r="AV24" s="15" t="s">
        <v>477</v>
      </c>
      <c r="AW24" s="33">
        <v>1.0</v>
      </c>
    </row>
    <row r="25">
      <c r="A25" s="60">
        <v>21.0</v>
      </c>
      <c r="B25" s="17" t="s">
        <v>170</v>
      </c>
      <c r="C25" s="17" t="s">
        <v>171</v>
      </c>
      <c r="D25" s="30">
        <v>1.0</v>
      </c>
      <c r="F25" s="60">
        <v>21.0</v>
      </c>
      <c r="G25" s="32" t="s">
        <v>264</v>
      </c>
      <c r="H25" s="17" t="s">
        <v>265</v>
      </c>
      <c r="I25" s="30">
        <v>2.0</v>
      </c>
      <c r="K25" s="60">
        <v>21.0</v>
      </c>
      <c r="L25" s="17" t="s">
        <v>295</v>
      </c>
      <c r="M25" s="17" t="s">
        <v>296</v>
      </c>
      <c r="N25" s="30">
        <v>1.0</v>
      </c>
      <c r="P25" s="60">
        <v>21.0</v>
      </c>
      <c r="Q25" s="17" t="s">
        <v>320</v>
      </c>
      <c r="R25" s="17" t="s">
        <v>321</v>
      </c>
      <c r="S25" s="30">
        <v>1.0</v>
      </c>
      <c r="U25" s="60">
        <v>21.0</v>
      </c>
      <c r="V25" s="17" t="s">
        <v>352</v>
      </c>
      <c r="W25" s="17" t="s">
        <v>209</v>
      </c>
      <c r="X25" s="30">
        <v>2.0</v>
      </c>
      <c r="Z25" s="61">
        <v>21.0</v>
      </c>
      <c r="AA25" s="15" t="s">
        <v>390</v>
      </c>
      <c r="AB25" s="15" t="s">
        <v>391</v>
      </c>
      <c r="AC25" s="35">
        <v>1.0</v>
      </c>
      <c r="AJ25" s="61">
        <v>21.0</v>
      </c>
      <c r="AK25" s="17" t="s">
        <v>431</v>
      </c>
      <c r="AL25" s="17" t="s">
        <v>432</v>
      </c>
      <c r="AM25" s="33">
        <v>1.0</v>
      </c>
      <c r="AN25" s="17"/>
      <c r="AO25" s="60">
        <v>21.0</v>
      </c>
      <c r="AP25" s="23" t="s">
        <v>446</v>
      </c>
      <c r="AQ25" s="23" t="s">
        <v>447</v>
      </c>
      <c r="AR25" s="33">
        <v>2.0</v>
      </c>
      <c r="AS25" s="17"/>
      <c r="AT25" s="34">
        <v>21.0</v>
      </c>
      <c r="AU25" s="15" t="s">
        <v>477</v>
      </c>
      <c r="AV25" s="15" t="s">
        <v>478</v>
      </c>
      <c r="AW25" s="33">
        <v>1.0</v>
      </c>
    </row>
    <row r="26">
      <c r="A26" s="60">
        <v>22.0</v>
      </c>
      <c r="B26" s="17" t="s">
        <v>171</v>
      </c>
      <c r="C26" s="17" t="s">
        <v>172</v>
      </c>
      <c r="D26" s="30">
        <v>1.0</v>
      </c>
      <c r="F26" s="60">
        <v>22.0</v>
      </c>
      <c r="G26" s="32" t="s">
        <v>265</v>
      </c>
      <c r="H26" s="17" t="s">
        <v>266</v>
      </c>
      <c r="I26" s="30">
        <v>1.0</v>
      </c>
      <c r="K26" s="60">
        <v>22.0</v>
      </c>
      <c r="L26" s="17" t="s">
        <v>296</v>
      </c>
      <c r="M26" s="17" t="s">
        <v>297</v>
      </c>
      <c r="N26" s="30">
        <v>1.0</v>
      </c>
      <c r="P26" s="60">
        <v>22.0</v>
      </c>
      <c r="Q26" s="17" t="s">
        <v>321</v>
      </c>
      <c r="R26" s="17" t="s">
        <v>508</v>
      </c>
      <c r="S26" s="30">
        <v>2.0</v>
      </c>
      <c r="U26" s="60">
        <v>22.0</v>
      </c>
      <c r="V26" s="17" t="s">
        <v>209</v>
      </c>
      <c r="W26" s="17" t="s">
        <v>210</v>
      </c>
      <c r="X26" s="30">
        <v>2.0</v>
      </c>
      <c r="Z26" s="61">
        <v>22.0</v>
      </c>
      <c r="AA26" s="15" t="s">
        <v>391</v>
      </c>
      <c r="AB26" s="15" t="s">
        <v>392</v>
      </c>
      <c r="AC26" s="35">
        <v>1.0</v>
      </c>
      <c r="AF26" s="13"/>
      <c r="AJ26" s="61">
        <v>22.0</v>
      </c>
      <c r="AK26" s="17" t="s">
        <v>432</v>
      </c>
      <c r="AL26" s="17" t="s">
        <v>169</v>
      </c>
      <c r="AM26" s="33">
        <v>1.0</v>
      </c>
      <c r="AN26" s="17"/>
      <c r="AO26" s="60">
        <v>22.0</v>
      </c>
      <c r="AP26" s="23" t="s">
        <v>447</v>
      </c>
      <c r="AQ26" s="23" t="s">
        <v>448</v>
      </c>
      <c r="AR26" s="33">
        <v>1.0</v>
      </c>
      <c r="AS26" s="17"/>
      <c r="AT26" s="64">
        <v>22.0</v>
      </c>
      <c r="AU26" s="15" t="s">
        <v>478</v>
      </c>
      <c r="AV26" s="17" t="s">
        <v>479</v>
      </c>
      <c r="AW26" s="33">
        <v>1.0</v>
      </c>
    </row>
    <row r="27">
      <c r="A27" s="60">
        <v>23.0</v>
      </c>
      <c r="B27" s="17" t="s">
        <v>172</v>
      </c>
      <c r="C27" s="17" t="s">
        <v>173</v>
      </c>
      <c r="D27" s="30">
        <v>1.0</v>
      </c>
      <c r="F27" s="60">
        <v>23.0</v>
      </c>
      <c r="G27" s="32" t="s">
        <v>266</v>
      </c>
      <c r="H27" s="17" t="s">
        <v>267</v>
      </c>
      <c r="I27" s="30">
        <v>1.0</v>
      </c>
      <c r="K27" s="60">
        <v>23.0</v>
      </c>
      <c r="L27" s="17" t="s">
        <v>297</v>
      </c>
      <c r="M27" s="17" t="s">
        <v>298</v>
      </c>
      <c r="N27" s="30">
        <v>1.0</v>
      </c>
      <c r="P27" s="60">
        <v>23.0</v>
      </c>
      <c r="Q27" s="17" t="s">
        <v>322</v>
      </c>
      <c r="R27" s="17" t="s">
        <v>210</v>
      </c>
      <c r="S27" s="30">
        <v>2.0</v>
      </c>
      <c r="U27" s="60">
        <v>23.0</v>
      </c>
      <c r="V27" s="17" t="s">
        <v>210</v>
      </c>
      <c r="W27" s="17" t="s">
        <v>191</v>
      </c>
      <c r="X27" s="30">
        <v>2.0</v>
      </c>
      <c r="Z27" s="61">
        <v>23.0</v>
      </c>
      <c r="AA27" s="15" t="s">
        <v>392</v>
      </c>
      <c r="AB27" s="15" t="s">
        <v>393</v>
      </c>
      <c r="AC27" s="35">
        <v>1.0</v>
      </c>
      <c r="AF27" s="13"/>
      <c r="AJ27" s="61">
        <v>23.0</v>
      </c>
      <c r="AK27" s="17" t="s">
        <v>169</v>
      </c>
      <c r="AL27" s="17" t="s">
        <v>170</v>
      </c>
      <c r="AM27" s="33">
        <v>1.0</v>
      </c>
      <c r="AN27" s="17"/>
      <c r="AO27" s="60">
        <v>23.0</v>
      </c>
      <c r="AP27" s="23" t="s">
        <v>448</v>
      </c>
      <c r="AQ27" s="23" t="s">
        <v>449</v>
      </c>
      <c r="AR27" s="33">
        <v>1.0</v>
      </c>
      <c r="AS27" s="17"/>
      <c r="AT27" s="35">
        <v>23.0</v>
      </c>
      <c r="AU27" s="17" t="s">
        <v>479</v>
      </c>
      <c r="AV27" s="17" t="s">
        <v>480</v>
      </c>
      <c r="AW27" s="33">
        <v>1.0</v>
      </c>
    </row>
    <row r="28">
      <c r="A28" s="60">
        <v>24.0</v>
      </c>
      <c r="B28" s="17" t="s">
        <v>173</v>
      </c>
      <c r="C28" s="17" t="s">
        <v>174</v>
      </c>
      <c r="D28" s="30">
        <v>1.0</v>
      </c>
      <c r="F28" s="60">
        <v>24.0</v>
      </c>
      <c r="G28" s="32" t="s">
        <v>267</v>
      </c>
      <c r="H28" s="17" t="s">
        <v>268</v>
      </c>
      <c r="I28" s="30">
        <v>1.0</v>
      </c>
      <c r="K28" s="60">
        <v>24.0</v>
      </c>
      <c r="L28" s="17" t="s">
        <v>298</v>
      </c>
      <c r="M28" s="17" t="s">
        <v>299</v>
      </c>
      <c r="N28" s="30">
        <v>1.0</v>
      </c>
      <c r="P28" s="60">
        <v>24.0</v>
      </c>
      <c r="Q28" s="17" t="s">
        <v>210</v>
      </c>
      <c r="R28" s="17" t="s">
        <v>323</v>
      </c>
      <c r="S28" s="30">
        <v>2.0</v>
      </c>
      <c r="U28" s="60">
        <v>24.0</v>
      </c>
      <c r="V28" s="17" t="s">
        <v>191</v>
      </c>
      <c r="W28" s="17" t="s">
        <v>192</v>
      </c>
      <c r="X28" s="30">
        <v>1.0</v>
      </c>
      <c r="Z28" s="61">
        <v>24.0</v>
      </c>
      <c r="AA28" s="15" t="s">
        <v>393</v>
      </c>
      <c r="AB28" s="15" t="s">
        <v>394</v>
      </c>
      <c r="AC28" s="36">
        <v>2.0</v>
      </c>
      <c r="AF28" s="13"/>
      <c r="AJ28" s="61">
        <v>24.0</v>
      </c>
      <c r="AK28" s="17" t="s">
        <v>170</v>
      </c>
      <c r="AL28" s="17" t="s">
        <v>171</v>
      </c>
      <c r="AM28" s="33">
        <v>1.0</v>
      </c>
      <c r="AN28" s="17"/>
      <c r="AO28" s="60">
        <v>24.0</v>
      </c>
      <c r="AP28" s="23" t="s">
        <v>449</v>
      </c>
      <c r="AQ28" s="23" t="s">
        <v>450</v>
      </c>
      <c r="AR28" s="33">
        <v>2.0</v>
      </c>
      <c r="AS28" s="17"/>
      <c r="AT28" s="35">
        <v>24.0</v>
      </c>
      <c r="AU28" s="17" t="s">
        <v>480</v>
      </c>
      <c r="AV28" s="17" t="s">
        <v>481</v>
      </c>
      <c r="AW28" s="33">
        <v>1.0</v>
      </c>
    </row>
    <row r="29">
      <c r="A29" s="60">
        <v>25.0</v>
      </c>
      <c r="B29" s="17" t="s">
        <v>174</v>
      </c>
      <c r="C29" s="17" t="s">
        <v>175</v>
      </c>
      <c r="D29" s="30">
        <v>1.0</v>
      </c>
      <c r="F29" s="60">
        <v>25.0</v>
      </c>
      <c r="G29" s="32" t="s">
        <v>268</v>
      </c>
      <c r="H29" s="17" t="s">
        <v>269</v>
      </c>
      <c r="I29" s="30">
        <v>1.0</v>
      </c>
      <c r="K29" s="60">
        <v>25.0</v>
      </c>
      <c r="L29" s="17" t="s">
        <v>299</v>
      </c>
      <c r="M29" s="17" t="s">
        <v>300</v>
      </c>
      <c r="N29" s="30">
        <v>1.0</v>
      </c>
      <c r="P29" s="60">
        <v>25.0</v>
      </c>
      <c r="Q29" s="17" t="s">
        <v>323</v>
      </c>
      <c r="R29" s="17" t="s">
        <v>324</v>
      </c>
      <c r="S29" s="30">
        <v>2.0</v>
      </c>
      <c r="U29" s="60">
        <v>25.0</v>
      </c>
      <c r="V29" s="17" t="s">
        <v>192</v>
      </c>
      <c r="W29" s="17" t="s">
        <v>180</v>
      </c>
      <c r="X29" s="30">
        <v>2.0</v>
      </c>
      <c r="Z29" s="61">
        <v>25.0</v>
      </c>
      <c r="AA29" s="15" t="s">
        <v>394</v>
      </c>
      <c r="AB29" s="15" t="s">
        <v>395</v>
      </c>
      <c r="AC29" s="36">
        <v>1.0</v>
      </c>
      <c r="AD29" s="33"/>
      <c r="AF29" s="13"/>
      <c r="AJ29" s="61">
        <v>25.0</v>
      </c>
      <c r="AK29" s="17" t="s">
        <v>171</v>
      </c>
      <c r="AL29" s="17" t="s">
        <v>172</v>
      </c>
      <c r="AM29" s="33">
        <v>1.0</v>
      </c>
      <c r="AN29" s="17"/>
      <c r="AO29" s="60">
        <v>25.0</v>
      </c>
      <c r="AP29" s="23" t="s">
        <v>450</v>
      </c>
      <c r="AQ29" s="23" t="s">
        <v>451</v>
      </c>
      <c r="AR29" s="33">
        <v>1.0</v>
      </c>
      <c r="AS29" s="17"/>
      <c r="AT29" s="35">
        <v>25.0</v>
      </c>
      <c r="AU29" s="17" t="s">
        <v>481</v>
      </c>
      <c r="AV29" s="17" t="s">
        <v>482</v>
      </c>
      <c r="AW29" s="33">
        <v>1.0</v>
      </c>
    </row>
    <row r="30">
      <c r="A30" s="60">
        <v>26.0</v>
      </c>
      <c r="B30" s="17" t="s">
        <v>175</v>
      </c>
      <c r="C30" s="17" t="s">
        <v>176</v>
      </c>
      <c r="D30" s="30">
        <v>1.0</v>
      </c>
      <c r="F30" s="60">
        <v>26.0</v>
      </c>
      <c r="G30" s="32" t="s">
        <v>269</v>
      </c>
      <c r="H30" s="17" t="s">
        <v>270</v>
      </c>
      <c r="I30" s="30">
        <v>1.0</v>
      </c>
      <c r="K30" s="60">
        <v>26.0</v>
      </c>
      <c r="L30" s="17" t="s">
        <v>300</v>
      </c>
      <c r="M30" s="17" t="s">
        <v>301</v>
      </c>
      <c r="N30" s="30">
        <v>1.0</v>
      </c>
      <c r="P30" s="60">
        <v>26.0</v>
      </c>
      <c r="Q30" s="17" t="s">
        <v>324</v>
      </c>
      <c r="R30" s="17" t="s">
        <v>325</v>
      </c>
      <c r="S30" s="30">
        <v>2.0</v>
      </c>
      <c r="U30" s="60">
        <v>26.0</v>
      </c>
      <c r="V30" s="17" t="s">
        <v>180</v>
      </c>
      <c r="W30" s="17" t="s">
        <v>179</v>
      </c>
      <c r="X30" s="30">
        <v>2.0</v>
      </c>
      <c r="Z30" s="61">
        <v>26.0</v>
      </c>
      <c r="AA30" s="15" t="s">
        <v>395</v>
      </c>
      <c r="AB30" s="15" t="s">
        <v>396</v>
      </c>
      <c r="AC30" s="34">
        <v>2.0</v>
      </c>
      <c r="AF30" s="13"/>
      <c r="AJ30" s="61">
        <v>26.0</v>
      </c>
      <c r="AK30" s="17" t="s">
        <v>172</v>
      </c>
      <c r="AL30" s="17" t="s">
        <v>225</v>
      </c>
      <c r="AM30" s="33">
        <v>1.0</v>
      </c>
      <c r="AN30" s="17"/>
      <c r="AO30" s="60">
        <v>26.0</v>
      </c>
      <c r="AP30" s="23" t="s">
        <v>451</v>
      </c>
      <c r="AQ30" s="23" t="s">
        <v>452</v>
      </c>
      <c r="AR30" s="33">
        <v>1.0</v>
      </c>
      <c r="AS30" s="17"/>
      <c r="AT30" s="35">
        <v>26.0</v>
      </c>
      <c r="AU30" s="17" t="s">
        <v>482</v>
      </c>
      <c r="AV30" s="17" t="s">
        <v>68</v>
      </c>
      <c r="AW30" s="33">
        <v>1.0</v>
      </c>
    </row>
    <row r="31">
      <c r="A31" s="60">
        <v>27.0</v>
      </c>
      <c r="B31" s="17" t="s">
        <v>176</v>
      </c>
      <c r="C31" s="17" t="s">
        <v>177</v>
      </c>
      <c r="D31" s="30">
        <v>1.0</v>
      </c>
      <c r="F31" s="60">
        <v>27.0</v>
      </c>
      <c r="G31" s="32" t="s">
        <v>270</v>
      </c>
      <c r="H31" s="17" t="s">
        <v>271</v>
      </c>
      <c r="I31" s="30">
        <v>1.0</v>
      </c>
      <c r="K31" s="60">
        <v>27.0</v>
      </c>
      <c r="L31" s="17" t="s">
        <v>301</v>
      </c>
      <c r="M31" s="17" t="s">
        <v>302</v>
      </c>
      <c r="N31" s="30">
        <v>1.0</v>
      </c>
      <c r="P31" s="60">
        <v>27.0</v>
      </c>
      <c r="Q31" s="17" t="s">
        <v>325</v>
      </c>
      <c r="R31" s="17" t="s">
        <v>326</v>
      </c>
      <c r="S31" s="30">
        <v>1.0</v>
      </c>
      <c r="U31" s="60">
        <v>27.0</v>
      </c>
      <c r="V31" s="17" t="s">
        <v>179</v>
      </c>
      <c r="W31" s="17" t="s">
        <v>178</v>
      </c>
      <c r="X31" s="30">
        <v>1.0</v>
      </c>
      <c r="Z31" s="61">
        <v>27.0</v>
      </c>
      <c r="AA31" s="15" t="s">
        <v>396</v>
      </c>
      <c r="AB31" s="15" t="s">
        <v>397</v>
      </c>
      <c r="AC31" s="34">
        <v>1.0</v>
      </c>
      <c r="AF31" s="13"/>
      <c r="AJ31" s="61">
        <v>27.0</v>
      </c>
      <c r="AK31" s="17" t="s">
        <v>225</v>
      </c>
      <c r="AL31" s="17" t="s">
        <v>518</v>
      </c>
      <c r="AM31" s="33">
        <v>1.0</v>
      </c>
      <c r="AN31" s="17"/>
      <c r="AO31" s="60">
        <v>27.0</v>
      </c>
      <c r="AP31" s="23" t="s">
        <v>452</v>
      </c>
      <c r="AQ31" s="23" t="s">
        <v>193</v>
      </c>
      <c r="AR31" s="33">
        <v>1.0</v>
      </c>
      <c r="AS31" s="17"/>
      <c r="AT31" s="35">
        <v>27.0</v>
      </c>
      <c r="AU31" s="17" t="s">
        <v>68</v>
      </c>
      <c r="AV31" s="17" t="s">
        <v>63</v>
      </c>
      <c r="AW31" s="33">
        <v>1.0</v>
      </c>
    </row>
    <row r="32">
      <c r="A32" s="60">
        <v>28.0</v>
      </c>
      <c r="B32" s="17" t="s">
        <v>177</v>
      </c>
      <c r="C32" s="17" t="s">
        <v>178</v>
      </c>
      <c r="D32" s="30">
        <v>1.0</v>
      </c>
      <c r="F32" s="60">
        <v>28.0</v>
      </c>
      <c r="G32" s="32" t="s">
        <v>271</v>
      </c>
      <c r="H32" s="17" t="s">
        <v>272</v>
      </c>
      <c r="I32" s="30">
        <v>1.0</v>
      </c>
      <c r="K32" s="60">
        <v>28.0</v>
      </c>
      <c r="L32" s="17" t="s">
        <v>302</v>
      </c>
      <c r="M32" s="17" t="s">
        <v>198</v>
      </c>
      <c r="N32" s="30">
        <v>1.0</v>
      </c>
      <c r="P32" s="60">
        <v>28.0</v>
      </c>
      <c r="Q32" s="17" t="s">
        <v>326</v>
      </c>
      <c r="R32" s="17" t="s">
        <v>509</v>
      </c>
      <c r="S32" s="30">
        <v>4.0</v>
      </c>
      <c r="U32" s="60">
        <v>28.0</v>
      </c>
      <c r="V32" s="17" t="s">
        <v>178</v>
      </c>
      <c r="W32" s="17" t="s">
        <v>353</v>
      </c>
      <c r="X32" s="30">
        <v>1.0</v>
      </c>
      <c r="Z32" s="61">
        <v>28.0</v>
      </c>
      <c r="AA32" s="15" t="s">
        <v>397</v>
      </c>
      <c r="AB32" s="13" t="s">
        <v>201</v>
      </c>
      <c r="AC32" s="36">
        <v>1.0</v>
      </c>
      <c r="AF32" s="13"/>
      <c r="AJ32" s="61">
        <v>28.0</v>
      </c>
      <c r="AK32" s="17" t="s">
        <v>518</v>
      </c>
      <c r="AL32" s="17" t="s">
        <v>227</v>
      </c>
      <c r="AM32" s="33">
        <v>1.0</v>
      </c>
      <c r="AN32" s="17"/>
      <c r="AO32" s="60">
        <v>28.0</v>
      </c>
      <c r="AP32" s="23" t="s">
        <v>193</v>
      </c>
      <c r="AQ32" s="23" t="s">
        <v>194</v>
      </c>
      <c r="AR32" s="33">
        <v>1.0</v>
      </c>
      <c r="AS32" s="17"/>
      <c r="AT32" s="35">
        <v>28.0</v>
      </c>
      <c r="AU32" s="17" t="s">
        <v>63</v>
      </c>
      <c r="AV32" s="17" t="s">
        <v>8</v>
      </c>
      <c r="AW32" s="33">
        <v>2.0</v>
      </c>
    </row>
    <row r="33">
      <c r="A33" s="60">
        <v>29.0</v>
      </c>
      <c r="B33" s="17" t="s">
        <v>178</v>
      </c>
      <c r="C33" s="17" t="s">
        <v>179</v>
      </c>
      <c r="D33" s="30">
        <v>1.0</v>
      </c>
      <c r="F33" s="60">
        <v>29.0</v>
      </c>
      <c r="G33" s="32" t="s">
        <v>272</v>
      </c>
      <c r="H33" s="17" t="s">
        <v>273</v>
      </c>
      <c r="I33" s="30">
        <v>1.0</v>
      </c>
      <c r="K33" s="60">
        <v>29.0</v>
      </c>
      <c r="L33" s="17" t="s">
        <v>198</v>
      </c>
      <c r="M33" s="17" t="s">
        <v>199</v>
      </c>
      <c r="N33" s="30">
        <v>1.0</v>
      </c>
      <c r="P33" s="60">
        <v>29.0</v>
      </c>
      <c r="Q33" s="17" t="s">
        <v>509</v>
      </c>
      <c r="R33" s="17" t="s">
        <v>211</v>
      </c>
      <c r="S33" s="30">
        <v>1.0</v>
      </c>
      <c r="U33" s="60">
        <v>29.0</v>
      </c>
      <c r="V33" s="17" t="s">
        <v>353</v>
      </c>
      <c r="W33" s="17" t="s">
        <v>177</v>
      </c>
      <c r="X33" s="30">
        <v>1.0</v>
      </c>
      <c r="Z33" s="61">
        <v>29.0</v>
      </c>
      <c r="AA33" s="23" t="s">
        <v>201</v>
      </c>
      <c r="AB33" s="15" t="s">
        <v>516</v>
      </c>
      <c r="AC33" s="36">
        <v>2.0</v>
      </c>
      <c r="AF33" s="13"/>
      <c r="AJ33" s="61">
        <v>29.0</v>
      </c>
      <c r="AK33" s="17" t="s">
        <v>227</v>
      </c>
      <c r="AL33" s="17" t="s">
        <v>433</v>
      </c>
      <c r="AM33" s="33">
        <v>1.0</v>
      </c>
      <c r="AN33" s="17"/>
      <c r="AO33" s="60">
        <v>29.0</v>
      </c>
      <c r="AP33" s="23" t="s">
        <v>194</v>
      </c>
      <c r="AQ33" s="23" t="s">
        <v>195</v>
      </c>
      <c r="AR33" s="33">
        <v>1.0</v>
      </c>
      <c r="AS33" s="17"/>
      <c r="AT33" s="33">
        <v>29.0</v>
      </c>
      <c r="AU33" s="17" t="s">
        <v>8</v>
      </c>
      <c r="AV33" s="17"/>
      <c r="AW33" s="17"/>
    </row>
    <row r="34">
      <c r="A34" s="60">
        <v>30.0</v>
      </c>
      <c r="B34" s="17" t="s">
        <v>179</v>
      </c>
      <c r="C34" s="17" t="s">
        <v>180</v>
      </c>
      <c r="D34" s="30">
        <v>2.0</v>
      </c>
      <c r="F34" s="60">
        <v>30.0</v>
      </c>
      <c r="G34" s="32" t="s">
        <v>273</v>
      </c>
      <c r="H34" s="17" t="s">
        <v>191</v>
      </c>
      <c r="I34" s="30">
        <v>1.0</v>
      </c>
      <c r="K34" s="60">
        <v>30.0</v>
      </c>
      <c r="L34" s="17" t="s">
        <v>199</v>
      </c>
      <c r="M34" s="17" t="s">
        <v>303</v>
      </c>
      <c r="N34" s="30">
        <v>1.0</v>
      </c>
      <c r="P34" s="65">
        <v>30.0</v>
      </c>
      <c r="Q34" s="15" t="s">
        <v>211</v>
      </c>
      <c r="R34" s="15" t="s">
        <v>327</v>
      </c>
      <c r="S34" s="30">
        <v>2.0</v>
      </c>
      <c r="U34" s="60">
        <v>30.0</v>
      </c>
      <c r="V34" s="17" t="s">
        <v>177</v>
      </c>
      <c r="W34" s="17" t="s">
        <v>176</v>
      </c>
      <c r="X34" s="30">
        <v>1.0</v>
      </c>
      <c r="Z34" s="61">
        <v>30.0</v>
      </c>
      <c r="AA34" s="15" t="s">
        <v>516</v>
      </c>
      <c r="AB34" s="15" t="s">
        <v>398</v>
      </c>
      <c r="AC34" s="36">
        <v>1.0</v>
      </c>
      <c r="AF34" s="13"/>
      <c r="AJ34" s="61">
        <v>30.0</v>
      </c>
      <c r="AK34" s="17" t="s">
        <v>433</v>
      </c>
      <c r="AL34" s="17"/>
      <c r="AM34" s="17"/>
      <c r="AN34" s="17"/>
      <c r="AO34" s="60">
        <v>30.0</v>
      </c>
      <c r="AP34" s="23" t="s">
        <v>195</v>
      </c>
      <c r="AQ34" s="23" t="s">
        <v>453</v>
      </c>
      <c r="AR34" s="33">
        <v>1.0</v>
      </c>
      <c r="AS34" s="17"/>
      <c r="AT34" s="17"/>
      <c r="AU34" s="17"/>
      <c r="AV34" s="17"/>
      <c r="AW34" s="17"/>
    </row>
    <row r="35">
      <c r="A35" s="60">
        <v>31.0</v>
      </c>
      <c r="B35" s="17" t="s">
        <v>180</v>
      </c>
      <c r="C35" s="17" t="s">
        <v>181</v>
      </c>
      <c r="D35" s="30">
        <v>1.0</v>
      </c>
      <c r="E35" s="17"/>
      <c r="F35" s="60">
        <v>31.0</v>
      </c>
      <c r="G35" s="32" t="s">
        <v>191</v>
      </c>
      <c r="H35" s="17" t="s">
        <v>192</v>
      </c>
      <c r="I35" s="30">
        <v>1.0</v>
      </c>
      <c r="K35" s="60">
        <v>31.0</v>
      </c>
      <c r="L35" s="17" t="s">
        <v>303</v>
      </c>
      <c r="M35" s="17" t="s">
        <v>201</v>
      </c>
      <c r="N35" s="30">
        <v>1.0</v>
      </c>
      <c r="P35" s="60">
        <v>31.0</v>
      </c>
      <c r="Q35" s="15" t="s">
        <v>327</v>
      </c>
      <c r="R35" s="15" t="s">
        <v>328</v>
      </c>
      <c r="S35" s="30">
        <v>1.0</v>
      </c>
      <c r="U35" s="60">
        <v>31.0</v>
      </c>
      <c r="V35" s="17" t="s">
        <v>176</v>
      </c>
      <c r="W35" s="17" t="s">
        <v>175</v>
      </c>
      <c r="X35" s="30">
        <v>1.0</v>
      </c>
      <c r="Z35" s="61">
        <v>31.0</v>
      </c>
      <c r="AA35" s="15" t="s">
        <v>398</v>
      </c>
      <c r="AB35" s="15" t="s">
        <v>399</v>
      </c>
      <c r="AC35" s="36">
        <v>1.0</v>
      </c>
      <c r="AF35" s="13"/>
      <c r="AL35" s="17"/>
      <c r="AM35" s="17"/>
      <c r="AN35" s="17"/>
      <c r="AO35" s="60">
        <v>31.0</v>
      </c>
      <c r="AP35" s="23" t="s">
        <v>453</v>
      </c>
      <c r="AQ35" s="15" t="s">
        <v>197</v>
      </c>
      <c r="AR35" s="33">
        <v>1.0</v>
      </c>
      <c r="AS35" s="17"/>
      <c r="AT35" s="17"/>
      <c r="AU35" s="17"/>
      <c r="AV35" s="17"/>
      <c r="AW35" s="17"/>
    </row>
    <row r="36">
      <c r="A36" s="33">
        <v>32.0</v>
      </c>
      <c r="B36" s="17" t="s">
        <v>181</v>
      </c>
      <c r="C36" s="17" t="s">
        <v>488</v>
      </c>
      <c r="D36" s="30">
        <v>2.0</v>
      </c>
      <c r="E36" s="17"/>
      <c r="F36" s="60">
        <v>32.0</v>
      </c>
      <c r="G36" s="32" t="s">
        <v>192</v>
      </c>
      <c r="H36" s="17" t="s">
        <v>181</v>
      </c>
      <c r="I36" s="30">
        <v>1.0</v>
      </c>
      <c r="K36" s="60">
        <v>32.0</v>
      </c>
      <c r="L36" s="17" t="s">
        <v>201</v>
      </c>
      <c r="M36" s="17" t="s">
        <v>202</v>
      </c>
      <c r="N36" s="30">
        <v>1.0</v>
      </c>
      <c r="P36" s="60">
        <v>32.0</v>
      </c>
      <c r="Q36" s="15" t="s">
        <v>328</v>
      </c>
      <c r="R36" s="15" t="s">
        <v>329</v>
      </c>
      <c r="S36" s="30">
        <v>1.0</v>
      </c>
      <c r="U36" s="60">
        <v>32.0</v>
      </c>
      <c r="V36" s="17" t="s">
        <v>175</v>
      </c>
      <c r="W36" s="17" t="s">
        <v>203</v>
      </c>
      <c r="X36" s="30">
        <v>3.0</v>
      </c>
      <c r="Z36" s="61">
        <v>32.0</v>
      </c>
      <c r="AA36" s="15" t="s">
        <v>399</v>
      </c>
      <c r="AB36" s="13" t="s">
        <v>214</v>
      </c>
      <c r="AC36" s="36">
        <v>1.0</v>
      </c>
      <c r="AL36" s="17"/>
      <c r="AM36" s="17"/>
      <c r="AN36" s="17"/>
      <c r="AO36" s="60">
        <v>32.0</v>
      </c>
      <c r="AP36" s="15" t="s">
        <v>197</v>
      </c>
      <c r="AQ36" s="23" t="s">
        <v>196</v>
      </c>
      <c r="AR36" s="33">
        <v>1.0</v>
      </c>
      <c r="AS36" s="17"/>
      <c r="AT36" s="17"/>
      <c r="AU36" s="17"/>
      <c r="AV36" s="17"/>
      <c r="AW36" s="17"/>
    </row>
    <row r="37">
      <c r="A37" s="33">
        <v>33.0</v>
      </c>
      <c r="B37" s="17" t="s">
        <v>489</v>
      </c>
      <c r="C37" s="17" t="s">
        <v>490</v>
      </c>
      <c r="D37" s="30">
        <v>2.0</v>
      </c>
      <c r="F37" s="60">
        <v>33.0</v>
      </c>
      <c r="G37" s="32" t="s">
        <v>181</v>
      </c>
      <c r="H37" s="17" t="s">
        <v>274</v>
      </c>
      <c r="I37" s="30">
        <v>1.0</v>
      </c>
      <c r="K37" s="60">
        <v>33.0</v>
      </c>
      <c r="L37" s="17" t="s">
        <v>202</v>
      </c>
      <c r="M37" s="17" t="s">
        <v>203</v>
      </c>
      <c r="N37" s="30">
        <v>1.0</v>
      </c>
      <c r="P37" s="60">
        <v>33.0</v>
      </c>
      <c r="Q37" s="15" t="s">
        <v>329</v>
      </c>
      <c r="R37" s="15" t="s">
        <v>330</v>
      </c>
      <c r="S37" s="30">
        <v>1.0</v>
      </c>
      <c r="U37" s="60">
        <v>33.0</v>
      </c>
      <c r="V37" s="17" t="s">
        <v>203</v>
      </c>
      <c r="W37" s="17" t="s">
        <v>202</v>
      </c>
      <c r="X37" s="30">
        <v>1.0</v>
      </c>
      <c r="Z37" s="61">
        <v>33.0</v>
      </c>
      <c r="AA37" s="23" t="s">
        <v>214</v>
      </c>
      <c r="AB37" s="15" t="s">
        <v>400</v>
      </c>
      <c r="AC37" s="36">
        <v>1.0</v>
      </c>
      <c r="AL37" s="17"/>
      <c r="AN37" s="60"/>
      <c r="AO37" s="66">
        <v>32.0</v>
      </c>
      <c r="AP37" s="23" t="s">
        <v>196</v>
      </c>
      <c r="AQ37" s="23" t="s">
        <v>454</v>
      </c>
      <c r="AR37" s="33">
        <v>1.0</v>
      </c>
      <c r="AS37" s="2"/>
      <c r="AT37" s="17"/>
      <c r="AU37" s="17"/>
      <c r="AV37" s="17"/>
      <c r="AW37" s="17"/>
    </row>
    <row r="38">
      <c r="A38" s="33">
        <v>34.0</v>
      </c>
      <c r="B38" s="23" t="s">
        <v>491</v>
      </c>
      <c r="C38" s="23" t="s">
        <v>239</v>
      </c>
      <c r="D38" s="30">
        <v>1.0</v>
      </c>
      <c r="F38" s="60">
        <v>34.0</v>
      </c>
      <c r="G38" s="32" t="s">
        <v>274</v>
      </c>
      <c r="H38" s="17" t="s">
        <v>275</v>
      </c>
      <c r="I38" s="30">
        <v>2.0</v>
      </c>
      <c r="K38" s="60">
        <v>34.0</v>
      </c>
      <c r="L38" s="17" t="s">
        <v>203</v>
      </c>
      <c r="M38" s="17" t="s">
        <v>174</v>
      </c>
      <c r="N38" s="30">
        <v>2.0</v>
      </c>
      <c r="P38" s="60">
        <v>34.0</v>
      </c>
      <c r="Q38" s="15" t="s">
        <v>330</v>
      </c>
      <c r="R38" s="15" t="s">
        <v>331</v>
      </c>
      <c r="S38" s="30">
        <v>2.0</v>
      </c>
      <c r="U38" s="60">
        <v>34.0</v>
      </c>
      <c r="V38" s="17" t="s">
        <v>202</v>
      </c>
      <c r="W38" s="17" t="s">
        <v>201</v>
      </c>
      <c r="X38" s="30">
        <v>3.0</v>
      </c>
      <c r="Z38" s="61">
        <v>34.0</v>
      </c>
      <c r="AA38" s="15" t="s">
        <v>400</v>
      </c>
      <c r="AB38" s="15" t="s">
        <v>401</v>
      </c>
      <c r="AC38" s="36">
        <v>3.0</v>
      </c>
      <c r="AL38" s="17"/>
      <c r="AN38" s="60"/>
      <c r="AO38" s="66">
        <v>33.0</v>
      </c>
      <c r="AP38" s="23" t="s">
        <v>454</v>
      </c>
      <c r="AQ38" s="15" t="s">
        <v>519</v>
      </c>
      <c r="AR38" s="30">
        <v>2.0</v>
      </c>
      <c r="AS38" s="2"/>
      <c r="AT38" s="17"/>
      <c r="AU38" s="17"/>
      <c r="AV38" s="17"/>
      <c r="AW38" s="17"/>
    </row>
    <row r="39">
      <c r="A39" s="33">
        <v>35.0</v>
      </c>
      <c r="B39" s="23" t="s">
        <v>239</v>
      </c>
      <c r="C39" s="23" t="s">
        <v>240</v>
      </c>
      <c r="D39" s="30">
        <v>1.0</v>
      </c>
      <c r="F39" s="60">
        <v>35.0</v>
      </c>
      <c r="G39" s="32" t="s">
        <v>275</v>
      </c>
      <c r="H39" s="17" t="s">
        <v>193</v>
      </c>
      <c r="I39" s="30">
        <v>1.0</v>
      </c>
      <c r="K39" s="60">
        <v>35.0</v>
      </c>
      <c r="L39" s="17" t="s">
        <v>174</v>
      </c>
      <c r="M39" s="17" t="s">
        <v>173</v>
      </c>
      <c r="N39" s="30">
        <v>1.0</v>
      </c>
      <c r="P39" s="60">
        <v>35.0</v>
      </c>
      <c r="Q39" s="15" t="s">
        <v>331</v>
      </c>
      <c r="R39" s="23" t="s">
        <v>165</v>
      </c>
      <c r="S39" s="30">
        <v>2.0</v>
      </c>
      <c r="U39" s="60">
        <v>35.0</v>
      </c>
      <c r="V39" s="17" t="s">
        <v>201</v>
      </c>
      <c r="W39" s="17" t="s">
        <v>514</v>
      </c>
      <c r="X39" s="30">
        <v>2.0</v>
      </c>
      <c r="Z39" s="61">
        <v>35.0</v>
      </c>
      <c r="AA39" s="15" t="s">
        <v>401</v>
      </c>
      <c r="AB39" s="15" t="s">
        <v>402</v>
      </c>
      <c r="AC39" s="36">
        <v>2.0</v>
      </c>
      <c r="AL39" s="17"/>
      <c r="AN39" s="60"/>
      <c r="AO39" s="66">
        <v>34.0</v>
      </c>
      <c r="AP39" s="15" t="s">
        <v>520</v>
      </c>
      <c r="AQ39" s="23" t="s">
        <v>456</v>
      </c>
      <c r="AR39" s="30">
        <v>2.0</v>
      </c>
      <c r="AS39" s="2"/>
      <c r="AT39" s="17"/>
      <c r="AU39" s="17"/>
      <c r="AV39" s="17"/>
      <c r="AW39" s="17"/>
    </row>
    <row r="40">
      <c r="A40" s="33">
        <v>36.0</v>
      </c>
      <c r="B40" s="23" t="s">
        <v>240</v>
      </c>
      <c r="C40" s="23" t="s">
        <v>241</v>
      </c>
      <c r="D40" s="30">
        <v>1.0</v>
      </c>
      <c r="F40" s="60">
        <v>36.0</v>
      </c>
      <c r="G40" s="32" t="s">
        <v>193</v>
      </c>
      <c r="H40" s="17" t="s">
        <v>194</v>
      </c>
      <c r="I40" s="30">
        <v>1.0</v>
      </c>
      <c r="K40" s="60">
        <v>36.0</v>
      </c>
      <c r="L40" s="17" t="s">
        <v>173</v>
      </c>
      <c r="M40" s="17" t="s">
        <v>172</v>
      </c>
      <c r="N40" s="30">
        <v>1.0</v>
      </c>
      <c r="P40" s="60">
        <v>36.0</v>
      </c>
      <c r="Q40" s="23" t="s">
        <v>165</v>
      </c>
      <c r="R40" s="23" t="s">
        <v>503</v>
      </c>
      <c r="S40" s="30">
        <v>1.0</v>
      </c>
      <c r="U40" s="60">
        <v>36.0</v>
      </c>
      <c r="V40" s="17" t="s">
        <v>514</v>
      </c>
      <c r="W40" s="17" t="s">
        <v>213</v>
      </c>
      <c r="X40" s="30">
        <v>2.0</v>
      </c>
      <c r="Z40" s="61">
        <v>36.0</v>
      </c>
      <c r="AA40" s="15" t="s">
        <v>402</v>
      </c>
      <c r="AB40" s="8"/>
      <c r="AC40" s="8"/>
      <c r="AL40" s="17"/>
      <c r="AN40" s="60"/>
      <c r="AO40" s="66">
        <v>35.0</v>
      </c>
      <c r="AP40" s="23" t="s">
        <v>456</v>
      </c>
      <c r="AQ40" s="23" t="s">
        <v>457</v>
      </c>
      <c r="AR40" s="30">
        <v>1.0</v>
      </c>
      <c r="AS40" s="2"/>
    </row>
    <row r="41">
      <c r="A41" s="33">
        <v>37.0</v>
      </c>
      <c r="B41" s="23" t="s">
        <v>241</v>
      </c>
      <c r="C41" s="23" t="s">
        <v>242</v>
      </c>
      <c r="D41" s="30">
        <v>1.0</v>
      </c>
      <c r="F41" s="60">
        <v>37.0</v>
      </c>
      <c r="G41" s="32" t="s">
        <v>194</v>
      </c>
      <c r="H41" s="17" t="s">
        <v>195</v>
      </c>
      <c r="I41" s="30">
        <v>1.0</v>
      </c>
      <c r="K41" s="60">
        <v>37.0</v>
      </c>
      <c r="L41" s="17" t="s">
        <v>172</v>
      </c>
      <c r="M41" s="17" t="s">
        <v>171</v>
      </c>
      <c r="N41" s="30">
        <v>1.0</v>
      </c>
      <c r="P41" s="60">
        <v>37.0</v>
      </c>
      <c r="Q41" s="23" t="s">
        <v>503</v>
      </c>
      <c r="R41" s="23" t="s">
        <v>502</v>
      </c>
      <c r="S41" s="30">
        <v>1.0</v>
      </c>
      <c r="U41" s="60">
        <v>37.0</v>
      </c>
      <c r="V41" s="17" t="s">
        <v>213</v>
      </c>
      <c r="W41" s="17" t="s">
        <v>214</v>
      </c>
      <c r="X41" s="30">
        <v>1.0</v>
      </c>
      <c r="AA41" s="60"/>
      <c r="AL41" s="17"/>
      <c r="AN41" s="60"/>
      <c r="AO41" s="66">
        <v>36.0</v>
      </c>
      <c r="AP41" s="23" t="s">
        <v>457</v>
      </c>
      <c r="AQ41" s="23" t="s">
        <v>458</v>
      </c>
      <c r="AR41" s="30">
        <v>1.0</v>
      </c>
      <c r="AS41" s="2"/>
    </row>
    <row r="42">
      <c r="A42" s="33">
        <v>38.0</v>
      </c>
      <c r="B42" s="23" t="s">
        <v>242</v>
      </c>
      <c r="C42" s="23" t="s">
        <v>243</v>
      </c>
      <c r="D42" s="30">
        <v>1.0</v>
      </c>
      <c r="F42" s="60">
        <v>38.0</v>
      </c>
      <c r="G42" s="32" t="s">
        <v>195</v>
      </c>
      <c r="H42" s="17" t="s">
        <v>276</v>
      </c>
      <c r="I42" s="30">
        <v>1.0</v>
      </c>
      <c r="K42" s="60">
        <v>38.0</v>
      </c>
      <c r="L42" s="17" t="s">
        <v>171</v>
      </c>
      <c r="M42" s="17" t="s">
        <v>170</v>
      </c>
      <c r="N42" s="30">
        <v>1.0</v>
      </c>
      <c r="P42" s="60">
        <v>38.0</v>
      </c>
      <c r="Q42" s="23" t="s">
        <v>502</v>
      </c>
      <c r="R42" s="23" t="s">
        <v>501</v>
      </c>
      <c r="S42" s="30">
        <v>1.0</v>
      </c>
      <c r="U42" s="60">
        <v>38.0</v>
      </c>
      <c r="V42" s="17" t="s">
        <v>214</v>
      </c>
      <c r="W42" s="17" t="s">
        <v>215</v>
      </c>
      <c r="X42" s="30">
        <v>2.0</v>
      </c>
      <c r="AA42" s="60"/>
      <c r="AF42" s="17"/>
      <c r="AG42" s="17"/>
      <c r="AH42" s="17"/>
      <c r="AI42" s="17"/>
      <c r="AJ42" s="17"/>
      <c r="AK42" s="17"/>
      <c r="AL42" s="17"/>
      <c r="AN42" s="60"/>
      <c r="AO42" s="66">
        <v>37.0</v>
      </c>
      <c r="AP42" s="23" t="s">
        <v>458</v>
      </c>
      <c r="AQ42" s="23" t="s">
        <v>459</v>
      </c>
      <c r="AR42" s="30">
        <v>1.0</v>
      </c>
      <c r="AS42" s="2"/>
    </row>
    <row r="43">
      <c r="A43" s="33">
        <v>39.0</v>
      </c>
      <c r="B43" s="23" t="s">
        <v>243</v>
      </c>
      <c r="C43" s="23" t="s">
        <v>244</v>
      </c>
      <c r="D43" s="31">
        <v>1.0</v>
      </c>
      <c r="F43" s="60">
        <v>39.0</v>
      </c>
      <c r="G43" s="32" t="s">
        <v>276</v>
      </c>
      <c r="H43" s="17" t="s">
        <v>277</v>
      </c>
      <c r="I43" s="30">
        <v>1.0</v>
      </c>
      <c r="K43" s="60">
        <v>39.0</v>
      </c>
      <c r="L43" s="17" t="s">
        <v>170</v>
      </c>
      <c r="M43" s="17" t="s">
        <v>169</v>
      </c>
      <c r="N43" s="30">
        <v>1.0</v>
      </c>
      <c r="P43" s="60">
        <v>39.0</v>
      </c>
      <c r="Q43" s="23" t="s">
        <v>501</v>
      </c>
      <c r="R43" s="23" t="s">
        <v>510</v>
      </c>
      <c r="S43" s="30">
        <v>1.0</v>
      </c>
      <c r="U43" s="60">
        <v>39.0</v>
      </c>
      <c r="V43" s="17" t="s">
        <v>215</v>
      </c>
      <c r="W43" s="17" t="s">
        <v>216</v>
      </c>
      <c r="X43" s="30">
        <v>2.0</v>
      </c>
      <c r="Y43" s="2"/>
      <c r="AA43" s="60"/>
      <c r="AF43" s="17"/>
      <c r="AG43" s="17"/>
      <c r="AH43" s="17"/>
      <c r="AI43" s="17"/>
      <c r="AJ43" s="17"/>
      <c r="AK43" s="17"/>
      <c r="AL43" s="17"/>
      <c r="AO43" s="66">
        <v>38.0</v>
      </c>
      <c r="AP43" s="23" t="s">
        <v>459</v>
      </c>
      <c r="AQ43" s="23" t="s">
        <v>460</v>
      </c>
      <c r="AR43" s="30">
        <v>1.0</v>
      </c>
      <c r="AS43" s="2"/>
    </row>
    <row r="44">
      <c r="A44" s="33">
        <v>40.0</v>
      </c>
      <c r="B44" s="23" t="s">
        <v>244</v>
      </c>
      <c r="C44" s="23" t="s">
        <v>245</v>
      </c>
      <c r="D44" s="30">
        <v>1.0</v>
      </c>
      <c r="F44" s="60">
        <v>40.0</v>
      </c>
      <c r="G44" s="32" t="s">
        <v>277</v>
      </c>
      <c r="H44" s="17" t="s">
        <v>278</v>
      </c>
      <c r="I44" s="30">
        <v>2.0</v>
      </c>
      <c r="K44" s="60">
        <v>40.0</v>
      </c>
      <c r="L44" s="17" t="s">
        <v>169</v>
      </c>
      <c r="M44" s="17" t="s">
        <v>168</v>
      </c>
      <c r="N44" s="30">
        <v>1.0</v>
      </c>
      <c r="P44" s="60">
        <v>40.0</v>
      </c>
      <c r="Q44" s="23" t="s">
        <v>510</v>
      </c>
      <c r="R44" s="23" t="s">
        <v>204</v>
      </c>
      <c r="S44" s="30">
        <v>1.0</v>
      </c>
      <c r="T44" s="2"/>
      <c r="U44" s="60">
        <v>40.0</v>
      </c>
      <c r="V44" s="17" t="s">
        <v>216</v>
      </c>
      <c r="W44" s="17" t="s">
        <v>355</v>
      </c>
      <c r="X44" s="30">
        <v>2.0</v>
      </c>
      <c r="Y44" s="2"/>
      <c r="AA44" s="60"/>
      <c r="AJ44" s="17"/>
      <c r="AK44" s="17"/>
      <c r="AL44" s="17"/>
      <c r="AO44" s="66">
        <v>39.0</v>
      </c>
      <c r="AP44" s="23" t="s">
        <v>460</v>
      </c>
      <c r="AQ44" s="13" t="s">
        <v>461</v>
      </c>
      <c r="AR44" s="30">
        <v>1.0</v>
      </c>
      <c r="AS44" s="2"/>
    </row>
    <row r="45">
      <c r="A45" s="33">
        <v>41.0</v>
      </c>
      <c r="B45" s="23" t="s">
        <v>245</v>
      </c>
      <c r="C45" s="23" t="s">
        <v>246</v>
      </c>
      <c r="D45" s="30">
        <v>1.0</v>
      </c>
      <c r="F45" s="60">
        <v>41.0</v>
      </c>
      <c r="G45" s="32" t="s">
        <v>278</v>
      </c>
      <c r="K45" s="60">
        <v>41.0</v>
      </c>
      <c r="L45" s="17" t="s">
        <v>168</v>
      </c>
      <c r="M45" s="17" t="s">
        <v>167</v>
      </c>
      <c r="N45" s="30">
        <v>1.0</v>
      </c>
      <c r="P45" s="60">
        <v>41.0</v>
      </c>
      <c r="Q45" s="23" t="s">
        <v>204</v>
      </c>
      <c r="R45" s="15" t="s">
        <v>332</v>
      </c>
      <c r="S45" s="30">
        <v>1.0</v>
      </c>
      <c r="U45" s="60">
        <v>41.0</v>
      </c>
      <c r="V45" s="17" t="s">
        <v>355</v>
      </c>
      <c r="W45" s="17" t="s">
        <v>217</v>
      </c>
      <c r="X45" s="30">
        <v>2.0</v>
      </c>
      <c r="AJ45" s="17"/>
      <c r="AK45" s="17"/>
      <c r="AL45" s="17"/>
      <c r="AO45" s="66">
        <v>40.0</v>
      </c>
      <c r="AP45" s="13" t="s">
        <v>461</v>
      </c>
      <c r="AQ45" s="13" t="s">
        <v>462</v>
      </c>
      <c r="AR45" s="30">
        <v>2.0</v>
      </c>
    </row>
    <row r="46">
      <c r="A46" s="33">
        <v>42.0</v>
      </c>
      <c r="B46" s="23" t="s">
        <v>246</v>
      </c>
      <c r="C46" s="15" t="s">
        <v>492</v>
      </c>
      <c r="D46" s="30">
        <v>1.0</v>
      </c>
      <c r="K46" s="60">
        <v>42.0</v>
      </c>
      <c r="L46" s="17" t="s">
        <v>167</v>
      </c>
      <c r="M46" s="17" t="s">
        <v>166</v>
      </c>
      <c r="N46" s="30">
        <v>1.0</v>
      </c>
      <c r="P46" s="60">
        <v>42.0</v>
      </c>
      <c r="Q46" s="15" t="s">
        <v>332</v>
      </c>
      <c r="R46" s="15" t="s">
        <v>511</v>
      </c>
      <c r="S46" s="30">
        <v>1.0</v>
      </c>
      <c r="U46" s="60">
        <v>42.0</v>
      </c>
      <c r="V46" s="17" t="s">
        <v>217</v>
      </c>
      <c r="W46" s="17" t="s">
        <v>356</v>
      </c>
      <c r="X46" s="30">
        <v>2.0</v>
      </c>
      <c r="AJ46" s="17"/>
      <c r="AK46" s="17"/>
      <c r="AL46" s="17"/>
      <c r="AO46" s="67">
        <v>41.0</v>
      </c>
      <c r="AP46" s="13" t="s">
        <v>462</v>
      </c>
      <c r="AQ46" s="8"/>
    </row>
    <row r="47">
      <c r="A47" s="33">
        <v>43.0</v>
      </c>
      <c r="B47" s="15" t="s">
        <v>492</v>
      </c>
      <c r="C47" s="23" t="s">
        <v>248</v>
      </c>
      <c r="D47" s="30">
        <v>1.0</v>
      </c>
      <c r="K47" s="60">
        <v>43.0</v>
      </c>
      <c r="L47" s="17" t="s">
        <v>166</v>
      </c>
      <c r="M47" s="17" t="s">
        <v>165</v>
      </c>
      <c r="N47" s="30">
        <v>2.0</v>
      </c>
      <c r="P47" s="60">
        <v>43.0</v>
      </c>
      <c r="Q47" s="15" t="s">
        <v>511</v>
      </c>
      <c r="R47" s="15" t="s">
        <v>333</v>
      </c>
      <c r="S47" s="30">
        <v>1.0</v>
      </c>
      <c r="U47" s="60">
        <v>43.0</v>
      </c>
      <c r="V47" s="17" t="s">
        <v>356</v>
      </c>
      <c r="W47" s="17" t="s">
        <v>357</v>
      </c>
      <c r="X47" s="30">
        <v>1.0</v>
      </c>
    </row>
    <row r="48">
      <c r="A48" s="33">
        <v>44.0</v>
      </c>
      <c r="B48" s="23" t="s">
        <v>248</v>
      </c>
      <c r="C48" s="23" t="s">
        <v>249</v>
      </c>
      <c r="D48" s="30">
        <v>1.0</v>
      </c>
      <c r="K48" s="60">
        <v>44.0</v>
      </c>
      <c r="L48" s="17" t="s">
        <v>165</v>
      </c>
      <c r="M48" s="17" t="s">
        <v>503</v>
      </c>
      <c r="N48" s="30">
        <v>1.0</v>
      </c>
      <c r="P48" s="60">
        <v>44.0</v>
      </c>
      <c r="Q48" s="15" t="s">
        <v>333</v>
      </c>
      <c r="R48" s="15" t="s">
        <v>334</v>
      </c>
      <c r="S48" s="30">
        <v>2.0</v>
      </c>
      <c r="U48" s="60">
        <v>44.0</v>
      </c>
      <c r="V48" s="17" t="s">
        <v>357</v>
      </c>
      <c r="W48" s="17" t="s">
        <v>358</v>
      </c>
      <c r="X48" s="30">
        <v>1.0</v>
      </c>
    </row>
    <row r="49">
      <c r="A49" s="33">
        <v>45.0</v>
      </c>
      <c r="B49" s="23" t="s">
        <v>249</v>
      </c>
      <c r="C49" s="23" t="s">
        <v>250</v>
      </c>
      <c r="D49" s="30">
        <v>1.0</v>
      </c>
      <c r="E49" s="17"/>
      <c r="K49" s="60">
        <v>45.0</v>
      </c>
      <c r="L49" s="17" t="s">
        <v>503</v>
      </c>
      <c r="M49" s="17" t="s">
        <v>506</v>
      </c>
      <c r="N49" s="30">
        <v>1.0</v>
      </c>
      <c r="P49" s="60">
        <v>45.0</v>
      </c>
      <c r="Q49" s="15" t="s">
        <v>334</v>
      </c>
      <c r="R49" s="15" t="s">
        <v>335</v>
      </c>
      <c r="S49" s="30">
        <v>1.0</v>
      </c>
      <c r="U49" s="60">
        <v>45.0</v>
      </c>
      <c r="V49" s="17" t="s">
        <v>358</v>
      </c>
      <c r="W49" s="17" t="s">
        <v>359</v>
      </c>
      <c r="X49" s="30">
        <v>1.0</v>
      </c>
    </row>
    <row r="50">
      <c r="A50" s="33">
        <v>46.0</v>
      </c>
      <c r="B50" s="23" t="s">
        <v>250</v>
      </c>
      <c r="C50" s="23" t="s">
        <v>251</v>
      </c>
      <c r="D50" s="30">
        <v>1.0</v>
      </c>
      <c r="K50" s="60">
        <v>46.0</v>
      </c>
      <c r="L50" s="17" t="s">
        <v>506</v>
      </c>
      <c r="M50" s="17" t="s">
        <v>501</v>
      </c>
      <c r="N50" s="30">
        <v>1.0</v>
      </c>
      <c r="P50" s="60">
        <v>46.0</v>
      </c>
      <c r="Q50" s="15" t="s">
        <v>335</v>
      </c>
      <c r="R50" s="15" t="s">
        <v>336</v>
      </c>
      <c r="S50" s="30">
        <v>1.0</v>
      </c>
      <c r="U50" s="60">
        <v>46.0</v>
      </c>
      <c r="V50" s="17" t="s">
        <v>359</v>
      </c>
      <c r="W50" s="17" t="s">
        <v>360</v>
      </c>
      <c r="X50" s="30">
        <v>1.0</v>
      </c>
    </row>
    <row r="51">
      <c r="A51" s="33">
        <v>47.0</v>
      </c>
      <c r="B51" s="23" t="s">
        <v>251</v>
      </c>
      <c r="C51" s="23" t="s">
        <v>252</v>
      </c>
      <c r="D51" s="30">
        <v>1.0</v>
      </c>
      <c r="K51" s="60">
        <v>47.0</v>
      </c>
      <c r="L51" s="17" t="s">
        <v>501</v>
      </c>
      <c r="M51" s="17" t="s">
        <v>507</v>
      </c>
      <c r="N51" s="30">
        <v>1.0</v>
      </c>
      <c r="P51" s="60">
        <v>47.0</v>
      </c>
      <c r="Q51" s="15" t="s">
        <v>336</v>
      </c>
      <c r="R51" s="15" t="s">
        <v>337</v>
      </c>
      <c r="S51" s="30">
        <v>2.0</v>
      </c>
      <c r="U51" s="60">
        <v>47.0</v>
      </c>
      <c r="V51" s="17" t="s">
        <v>360</v>
      </c>
      <c r="W51" s="17" t="s">
        <v>361</v>
      </c>
      <c r="X51" s="30">
        <v>1.0</v>
      </c>
    </row>
    <row r="52">
      <c r="A52" s="60">
        <v>48.0</v>
      </c>
      <c r="B52" s="23" t="s">
        <v>252</v>
      </c>
      <c r="C52" s="23" t="s">
        <v>253</v>
      </c>
      <c r="D52" s="30">
        <v>1.0</v>
      </c>
      <c r="K52" s="60">
        <v>48.0</v>
      </c>
      <c r="L52" s="17" t="s">
        <v>507</v>
      </c>
      <c r="M52" s="17" t="s">
        <v>204</v>
      </c>
      <c r="N52" s="30">
        <v>1.0</v>
      </c>
      <c r="P52" s="60">
        <v>48.0</v>
      </c>
      <c r="Q52" s="15" t="s">
        <v>337</v>
      </c>
      <c r="R52" s="23" t="s">
        <v>512</v>
      </c>
      <c r="S52" s="30">
        <v>1.0</v>
      </c>
      <c r="U52" s="60">
        <v>48.0</v>
      </c>
      <c r="V52" s="17" t="s">
        <v>361</v>
      </c>
      <c r="W52" s="17" t="s">
        <v>362</v>
      </c>
      <c r="X52" s="30">
        <v>1.0</v>
      </c>
    </row>
    <row r="53">
      <c r="A53" s="60">
        <v>49.0</v>
      </c>
      <c r="B53" s="23" t="s">
        <v>253</v>
      </c>
      <c r="C53" s="23" t="s">
        <v>254</v>
      </c>
      <c r="D53" s="30">
        <v>1.0</v>
      </c>
      <c r="K53" s="60">
        <v>49.0</v>
      </c>
      <c r="L53" s="17" t="s">
        <v>204</v>
      </c>
      <c r="M53" s="17" t="s">
        <v>205</v>
      </c>
      <c r="N53" s="30">
        <v>1.0</v>
      </c>
      <c r="P53" s="60">
        <v>49.0</v>
      </c>
      <c r="Q53" s="23" t="s">
        <v>512</v>
      </c>
      <c r="R53" s="23" t="s">
        <v>26</v>
      </c>
      <c r="S53" s="30">
        <v>1.0</v>
      </c>
      <c r="U53" s="60">
        <v>49.0</v>
      </c>
      <c r="V53" s="17" t="s">
        <v>362</v>
      </c>
      <c r="W53" s="17" t="s">
        <v>363</v>
      </c>
      <c r="X53" s="30">
        <v>1.0</v>
      </c>
    </row>
    <row r="54">
      <c r="A54" s="60">
        <v>50.0</v>
      </c>
      <c r="B54" s="23" t="s">
        <v>254</v>
      </c>
      <c r="C54" s="23" t="s">
        <v>255</v>
      </c>
      <c r="D54" s="30">
        <v>1.0</v>
      </c>
      <c r="K54" s="60">
        <v>50.0</v>
      </c>
      <c r="L54" s="17" t="s">
        <v>205</v>
      </c>
      <c r="M54" s="17" t="s">
        <v>304</v>
      </c>
      <c r="N54" s="30">
        <v>1.0</v>
      </c>
      <c r="P54" s="60">
        <v>50.0</v>
      </c>
      <c r="Q54" s="23" t="s">
        <v>26</v>
      </c>
      <c r="R54" s="13" t="s">
        <v>513</v>
      </c>
      <c r="S54" s="30">
        <v>2.0</v>
      </c>
      <c r="U54" s="60">
        <v>50.0</v>
      </c>
      <c r="V54" s="17" t="s">
        <v>363</v>
      </c>
      <c r="W54" s="17" t="s">
        <v>364</v>
      </c>
      <c r="X54" s="30">
        <v>1.0</v>
      </c>
    </row>
    <row r="55">
      <c r="A55" s="60">
        <v>51.0</v>
      </c>
      <c r="B55" s="23" t="s">
        <v>255</v>
      </c>
      <c r="C55" s="23" t="s">
        <v>256</v>
      </c>
      <c r="D55" s="30">
        <v>2.0</v>
      </c>
      <c r="K55" s="60">
        <v>51.0</v>
      </c>
      <c r="L55" s="17" t="s">
        <v>304</v>
      </c>
      <c r="M55" s="17" t="s">
        <v>207</v>
      </c>
      <c r="N55" s="30">
        <v>1.0</v>
      </c>
      <c r="P55" s="60">
        <v>51.0</v>
      </c>
      <c r="Q55" s="13" t="s">
        <v>513</v>
      </c>
      <c r="R55" s="8"/>
      <c r="U55" s="60">
        <v>51.0</v>
      </c>
      <c r="V55" s="17" t="s">
        <v>364</v>
      </c>
      <c r="W55" s="17" t="s">
        <v>365</v>
      </c>
      <c r="X55" s="30">
        <v>1.0</v>
      </c>
    </row>
    <row r="56">
      <c r="A56" s="60">
        <v>52.0</v>
      </c>
      <c r="B56" s="23" t="s">
        <v>256</v>
      </c>
      <c r="C56" s="23" t="s">
        <v>257</v>
      </c>
      <c r="D56" s="30">
        <v>1.0</v>
      </c>
      <c r="K56" s="60">
        <v>52.0</v>
      </c>
      <c r="L56" s="17" t="s">
        <v>207</v>
      </c>
      <c r="M56" s="17" t="s">
        <v>208</v>
      </c>
      <c r="N56" s="30">
        <v>1.0</v>
      </c>
      <c r="P56" s="8"/>
      <c r="Q56" s="8"/>
      <c r="R56" s="8"/>
      <c r="U56" s="60">
        <v>52.0</v>
      </c>
      <c r="V56" s="17" t="s">
        <v>365</v>
      </c>
      <c r="W56" s="17" t="s">
        <v>366</v>
      </c>
      <c r="X56" s="30">
        <v>1.0</v>
      </c>
    </row>
    <row r="57">
      <c r="A57" s="60">
        <v>53.0</v>
      </c>
      <c r="B57" s="23" t="s">
        <v>257</v>
      </c>
      <c r="C57" s="23" t="s">
        <v>258</v>
      </c>
      <c r="D57" s="30">
        <v>1.0</v>
      </c>
      <c r="K57" s="60">
        <v>53.0</v>
      </c>
      <c r="L57" s="17" t="s">
        <v>208</v>
      </c>
      <c r="U57" s="60">
        <v>53.0</v>
      </c>
      <c r="V57" s="17" t="s">
        <v>366</v>
      </c>
      <c r="W57" s="17" t="s">
        <v>367</v>
      </c>
      <c r="X57" s="30">
        <v>3.0</v>
      </c>
    </row>
    <row r="58">
      <c r="A58" s="60">
        <v>54.0</v>
      </c>
      <c r="B58" s="23" t="s">
        <v>258</v>
      </c>
      <c r="C58" s="23" t="s">
        <v>182</v>
      </c>
      <c r="D58" s="30">
        <v>1.0</v>
      </c>
      <c r="U58" s="60">
        <v>54.0</v>
      </c>
      <c r="V58" s="17" t="s">
        <v>367</v>
      </c>
      <c r="W58" s="17" t="s">
        <v>368</v>
      </c>
      <c r="X58" s="30">
        <v>2.0</v>
      </c>
    </row>
    <row r="59">
      <c r="A59" s="60">
        <v>55.0</v>
      </c>
      <c r="B59" s="23" t="s">
        <v>182</v>
      </c>
      <c r="C59" s="23" t="s">
        <v>183</v>
      </c>
      <c r="D59" s="30">
        <v>3.0</v>
      </c>
      <c r="U59" s="60">
        <v>55.0</v>
      </c>
      <c r="V59" s="17" t="s">
        <v>368</v>
      </c>
      <c r="W59" s="17" t="s">
        <v>369</v>
      </c>
      <c r="X59" s="30">
        <v>2.0</v>
      </c>
      <c r="AU59" s="17"/>
      <c r="AV59" s="17"/>
      <c r="AW59" s="21"/>
    </row>
    <row r="60">
      <c r="A60" s="60">
        <v>56.0</v>
      </c>
      <c r="B60" s="23" t="s">
        <v>183</v>
      </c>
      <c r="C60" s="23" t="s">
        <v>493</v>
      </c>
      <c r="D60" s="30">
        <v>4.0</v>
      </c>
      <c r="U60" s="60">
        <v>56.0</v>
      </c>
      <c r="V60" s="17" t="s">
        <v>369</v>
      </c>
      <c r="W60" s="17" t="s">
        <v>370</v>
      </c>
      <c r="X60" s="30">
        <v>1.0</v>
      </c>
      <c r="AU60" s="17"/>
      <c r="AW60" s="17"/>
    </row>
    <row r="61">
      <c r="A61" s="60">
        <v>57.0</v>
      </c>
      <c r="B61" s="23" t="s">
        <v>493</v>
      </c>
      <c r="C61" s="23" t="s">
        <v>185</v>
      </c>
      <c r="D61" s="30">
        <v>1.0</v>
      </c>
      <c r="U61" s="60">
        <v>57.0</v>
      </c>
      <c r="V61" s="17" t="s">
        <v>370</v>
      </c>
      <c r="W61" s="17" t="s">
        <v>371</v>
      </c>
      <c r="X61" s="2">
        <v>1.0</v>
      </c>
      <c r="AU61" s="33"/>
      <c r="AV61" s="17"/>
      <c r="AW61" s="17"/>
    </row>
    <row r="62">
      <c r="A62" s="60">
        <v>58.0</v>
      </c>
      <c r="B62" s="23" t="s">
        <v>185</v>
      </c>
      <c r="C62" s="23" t="s">
        <v>186</v>
      </c>
      <c r="D62" s="30">
        <v>1.0</v>
      </c>
      <c r="U62" s="60">
        <v>58.0</v>
      </c>
      <c r="V62" s="17" t="s">
        <v>371</v>
      </c>
      <c r="AU62" s="33"/>
      <c r="AV62" s="17"/>
      <c r="AW62" s="17"/>
    </row>
    <row r="63">
      <c r="A63" s="60">
        <v>59.0</v>
      </c>
      <c r="B63" s="23" t="s">
        <v>186</v>
      </c>
      <c r="C63" s="23" t="s">
        <v>187</v>
      </c>
      <c r="D63" s="30">
        <v>2.0</v>
      </c>
      <c r="AU63" s="33"/>
      <c r="AV63" s="17"/>
      <c r="AW63" s="17"/>
    </row>
    <row r="64">
      <c r="A64" s="60">
        <v>60.0</v>
      </c>
      <c r="B64" s="23" t="s">
        <v>187</v>
      </c>
      <c r="C64" s="23" t="s">
        <v>259</v>
      </c>
      <c r="D64" s="30">
        <v>1.0</v>
      </c>
      <c r="AU64" s="33"/>
      <c r="AV64" s="17"/>
      <c r="AW64" s="17"/>
    </row>
    <row r="65">
      <c r="A65" s="60">
        <v>61.0</v>
      </c>
      <c r="B65" s="23" t="s">
        <v>259</v>
      </c>
      <c r="C65" s="23" t="s">
        <v>260</v>
      </c>
      <c r="D65" s="30">
        <v>2.0</v>
      </c>
      <c r="AU65" s="33"/>
      <c r="AV65" s="17"/>
      <c r="AW65" s="17"/>
    </row>
    <row r="66">
      <c r="A66" s="60">
        <v>62.0</v>
      </c>
      <c r="B66" s="23" t="s">
        <v>260</v>
      </c>
      <c r="C66" s="13" t="s">
        <v>261</v>
      </c>
      <c r="D66" s="30">
        <v>2.0</v>
      </c>
      <c r="AU66" s="33"/>
      <c r="AV66" s="17"/>
      <c r="AW66" s="17"/>
    </row>
    <row r="67">
      <c r="A67" s="60">
        <v>63.0</v>
      </c>
      <c r="B67" s="13" t="s">
        <v>261</v>
      </c>
      <c r="C67" s="13" t="s">
        <v>262</v>
      </c>
      <c r="D67" s="30">
        <v>5.0</v>
      </c>
      <c r="AU67" s="60"/>
      <c r="AV67" s="17"/>
      <c r="AW67" s="17"/>
    </row>
    <row r="68" hidden="1">
      <c r="A68" s="60">
        <v>64.0</v>
      </c>
      <c r="B68" s="13" t="s">
        <v>262</v>
      </c>
      <c r="C68" s="8"/>
      <c r="D68" s="30"/>
      <c r="AU68" s="33"/>
      <c r="AV68" s="17"/>
      <c r="AW68" s="17"/>
    </row>
    <row r="69" hidden="1">
      <c r="A69" s="60"/>
      <c r="D69" s="30"/>
      <c r="AU69" s="33"/>
      <c r="AV69" s="17"/>
      <c r="AW69" s="17"/>
    </row>
    <row r="70" hidden="1">
      <c r="A70" s="60"/>
      <c r="D70" s="30"/>
      <c r="AU70" s="33"/>
      <c r="AV70" s="17"/>
      <c r="AW70" s="17"/>
    </row>
    <row r="71" hidden="1">
      <c r="A71" s="60"/>
      <c r="AU71" s="33"/>
      <c r="AV71" s="17"/>
      <c r="AW71" s="17"/>
    </row>
    <row r="72" hidden="1">
      <c r="AU72" s="33"/>
      <c r="AV72" s="17"/>
      <c r="AW72" s="17"/>
    </row>
    <row r="73" hidden="1">
      <c r="AU73" s="33"/>
      <c r="AV73" s="17"/>
      <c r="AW73" s="17"/>
    </row>
    <row r="74" hidden="1">
      <c r="AU74" s="33"/>
      <c r="AV74" s="17"/>
      <c r="AW74" s="17"/>
    </row>
    <row r="75" hidden="1">
      <c r="AU75" s="33"/>
      <c r="AV75" s="17"/>
      <c r="AW75" s="17"/>
    </row>
    <row r="76" hidden="1">
      <c r="AU76" s="33"/>
      <c r="AV76" s="17"/>
      <c r="AW76" s="17"/>
    </row>
    <row r="77" hidden="1">
      <c r="AU77" s="33"/>
      <c r="AV77" s="17"/>
      <c r="AW77" s="17"/>
    </row>
    <row r="78" hidden="1">
      <c r="AU78" s="33"/>
      <c r="AV78" s="17"/>
      <c r="AW78" s="17"/>
    </row>
    <row r="79" hidden="1">
      <c r="AU79" s="33"/>
      <c r="AV79" s="17"/>
      <c r="AW79" s="17"/>
    </row>
    <row r="80" hidden="1">
      <c r="AU80" s="33"/>
      <c r="AV80" s="17"/>
      <c r="AW80" s="17"/>
    </row>
    <row r="81" hidden="1">
      <c r="AU81" s="33"/>
      <c r="AV81" s="17"/>
      <c r="AW81" s="17"/>
    </row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</sheetData>
  <mergeCells count="21">
    <mergeCell ref="AM2:AM4"/>
    <mergeCell ref="AR2:AR4"/>
    <mergeCell ref="AW2:AW4"/>
    <mergeCell ref="AO3:AP3"/>
    <mergeCell ref="AT3:AU3"/>
    <mergeCell ref="AU60:AV60"/>
    <mergeCell ref="A3:B3"/>
    <mergeCell ref="F3:G3"/>
    <mergeCell ref="K3:L3"/>
    <mergeCell ref="P3:Q3"/>
    <mergeCell ref="U3:V3"/>
    <mergeCell ref="Z3:AA3"/>
    <mergeCell ref="AE3:AF3"/>
    <mergeCell ref="AJ3:AK3"/>
    <mergeCell ref="D2:D4"/>
    <mergeCell ref="I2:I4"/>
    <mergeCell ref="N2:N4"/>
    <mergeCell ref="S2:S4"/>
    <mergeCell ref="X2:X4"/>
    <mergeCell ref="AC2:AC4"/>
    <mergeCell ref="AH2:AH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1.88"/>
    <col customWidth="1" min="3" max="3" width="14.63"/>
    <col customWidth="1" min="4" max="4" width="14.13"/>
    <col customWidth="1" min="6" max="6" width="8.38"/>
    <col customWidth="1" min="7" max="7" width="25.5"/>
    <col customWidth="1" min="8" max="8" width="15.25"/>
    <col customWidth="1" min="9" max="9" width="16.25"/>
    <col customWidth="1" min="11" max="11" width="7.88"/>
    <col customWidth="1" min="12" max="12" width="26.13"/>
    <col customWidth="1" min="13" max="13" width="15.25"/>
    <col customWidth="1" min="14" max="14" width="15.63"/>
    <col customWidth="1" min="16" max="16" width="7.75"/>
    <col customWidth="1" min="17" max="17" width="29.38"/>
    <col customWidth="1" min="18" max="18" width="14.75"/>
    <col customWidth="1" min="19" max="19" width="15.63"/>
    <col customWidth="1" min="21" max="21" width="8.13"/>
    <col customWidth="1" min="22" max="22" width="29.25"/>
    <col customWidth="1" min="23" max="23" width="15.5"/>
    <col customWidth="1" min="24" max="24" width="15.38"/>
    <col customWidth="1" min="26" max="26" width="8.75"/>
    <col customWidth="1" min="27" max="27" width="38.25"/>
    <col customWidth="1" min="28" max="28" width="14.38"/>
    <col customWidth="1" min="29" max="29" width="15.63"/>
    <col customWidth="1" min="31" max="31" width="9.0"/>
    <col customWidth="1" min="32" max="32" width="37.63"/>
    <col customWidth="1" min="33" max="34" width="15.25"/>
    <col customWidth="1" min="36" max="36" width="8.63"/>
    <col customWidth="1" min="37" max="37" width="27.88"/>
    <col customWidth="1" min="38" max="38" width="15.38"/>
    <col customWidth="1" min="39" max="39" width="15.25"/>
    <col customWidth="1" min="41" max="41" width="9.38"/>
    <col customWidth="1" min="42" max="42" width="33.25"/>
    <col customWidth="1" min="43" max="43" width="15.25"/>
    <col customWidth="1" min="44" max="44" width="16.0"/>
    <col customWidth="1" min="46" max="46" width="8.88"/>
    <col customWidth="1" min="47" max="47" width="27.25"/>
    <col customWidth="1" min="48" max="48" width="14.63"/>
    <col customWidth="1" min="49" max="49" width="15.5"/>
  </cols>
  <sheetData>
    <row r="2">
      <c r="A2" s="68" t="s">
        <v>528</v>
      </c>
    </row>
    <row r="4">
      <c r="A4" s="38" t="s">
        <v>10</v>
      </c>
      <c r="B4" s="38" t="s">
        <v>11</v>
      </c>
      <c r="C4" s="69"/>
      <c r="D4" s="69"/>
      <c r="E4" s="20"/>
      <c r="F4" s="40" t="s">
        <v>14</v>
      </c>
      <c r="G4" s="40" t="s">
        <v>15</v>
      </c>
      <c r="H4" s="70"/>
      <c r="I4" s="70"/>
      <c r="J4" s="20"/>
      <c r="K4" s="42" t="s">
        <v>18</v>
      </c>
      <c r="L4" s="42" t="s">
        <v>19</v>
      </c>
      <c r="M4" s="71"/>
      <c r="N4" s="71"/>
      <c r="O4" s="20"/>
      <c r="P4" s="44" t="s">
        <v>21</v>
      </c>
      <c r="Q4" s="44" t="s">
        <v>23</v>
      </c>
      <c r="R4" s="72"/>
      <c r="S4" s="72"/>
      <c r="T4" s="20"/>
      <c r="U4" s="46" t="s">
        <v>28</v>
      </c>
      <c r="V4" s="46" t="s">
        <v>29</v>
      </c>
      <c r="W4" s="73"/>
      <c r="X4" s="73"/>
      <c r="Y4" s="20"/>
      <c r="Z4" s="48" t="s">
        <v>33</v>
      </c>
      <c r="AA4" s="48" t="s">
        <v>34</v>
      </c>
      <c r="AB4" s="74"/>
      <c r="AC4" s="74"/>
      <c r="AD4" s="20"/>
      <c r="AE4" s="50" t="s">
        <v>38</v>
      </c>
      <c r="AF4" s="50" t="s">
        <v>39</v>
      </c>
      <c r="AG4" s="75"/>
      <c r="AH4" s="75"/>
      <c r="AI4" s="20"/>
      <c r="AJ4" s="52" t="s">
        <v>43</v>
      </c>
      <c r="AK4" s="52" t="s">
        <v>44</v>
      </c>
      <c r="AL4" s="52"/>
      <c r="AM4" s="76"/>
      <c r="AN4" s="20"/>
      <c r="AO4" s="54" t="s">
        <v>48</v>
      </c>
      <c r="AP4" s="54" t="s">
        <v>49</v>
      </c>
      <c r="AQ4" s="77"/>
      <c r="AR4" s="77"/>
      <c r="AS4" s="20"/>
      <c r="AT4" s="78" t="s">
        <v>25</v>
      </c>
      <c r="AU4" s="78" t="s">
        <v>52</v>
      </c>
      <c r="AV4" s="79"/>
      <c r="AW4" s="78"/>
    </row>
    <row r="5">
      <c r="A5" s="38" t="s">
        <v>526</v>
      </c>
      <c r="C5" s="80" t="s">
        <v>529</v>
      </c>
      <c r="D5" s="80" t="s">
        <v>530</v>
      </c>
      <c r="E5" s="18"/>
      <c r="F5" s="40" t="s">
        <v>16</v>
      </c>
      <c r="H5" s="81" t="s">
        <v>529</v>
      </c>
      <c r="I5" s="81" t="s">
        <v>530</v>
      </c>
      <c r="J5" s="18"/>
      <c r="K5" s="42" t="s">
        <v>20</v>
      </c>
      <c r="M5" s="82" t="s">
        <v>529</v>
      </c>
      <c r="N5" s="82" t="s">
        <v>530</v>
      </c>
      <c r="O5" s="18"/>
      <c r="P5" s="44" t="s">
        <v>24</v>
      </c>
      <c r="R5" s="83" t="s">
        <v>529</v>
      </c>
      <c r="S5" s="83" t="s">
        <v>530</v>
      </c>
      <c r="T5" s="18"/>
      <c r="U5" s="46" t="s">
        <v>30</v>
      </c>
      <c r="W5" s="84" t="s">
        <v>529</v>
      </c>
      <c r="X5" s="84" t="s">
        <v>530</v>
      </c>
      <c r="Y5" s="18"/>
      <c r="Z5" s="48" t="s">
        <v>35</v>
      </c>
      <c r="AB5" s="85" t="s">
        <v>529</v>
      </c>
      <c r="AC5" s="85" t="s">
        <v>530</v>
      </c>
      <c r="AD5" s="18"/>
      <c r="AE5" s="50" t="s">
        <v>40</v>
      </c>
      <c r="AG5" s="86" t="s">
        <v>529</v>
      </c>
      <c r="AH5" s="86" t="s">
        <v>530</v>
      </c>
      <c r="AI5" s="18"/>
      <c r="AJ5" s="52" t="s">
        <v>45</v>
      </c>
      <c r="AL5" s="87" t="s">
        <v>529</v>
      </c>
      <c r="AM5" s="87" t="s">
        <v>530</v>
      </c>
      <c r="AN5" s="18"/>
      <c r="AO5" s="54" t="s">
        <v>50</v>
      </c>
      <c r="AQ5" s="88" t="s">
        <v>529</v>
      </c>
      <c r="AR5" s="88" t="s">
        <v>530</v>
      </c>
      <c r="AS5" s="18"/>
      <c r="AT5" s="78" t="s">
        <v>53</v>
      </c>
      <c r="AV5" s="89" t="s">
        <v>529</v>
      </c>
      <c r="AW5" s="89" t="s">
        <v>530</v>
      </c>
    </row>
    <row r="6">
      <c r="A6" s="33">
        <v>1.0</v>
      </c>
      <c r="B6" s="17" t="s">
        <v>147</v>
      </c>
      <c r="C6" s="17">
        <v>-7.56607199999999</v>
      </c>
      <c r="D6" s="17">
        <v>110.87161</v>
      </c>
      <c r="E6" s="20"/>
      <c r="F6" s="33">
        <v>1.0</v>
      </c>
      <c r="G6" s="17" t="s">
        <v>147</v>
      </c>
      <c r="H6" s="17">
        <v>-7.56607199999999</v>
      </c>
      <c r="I6" s="17">
        <v>110.87161</v>
      </c>
      <c r="J6" s="20"/>
      <c r="K6" s="33">
        <v>1.0</v>
      </c>
      <c r="L6" s="17" t="s">
        <v>505</v>
      </c>
      <c r="M6" s="17">
        <v>-7.54453</v>
      </c>
      <c r="N6" s="17">
        <v>110.73575</v>
      </c>
      <c r="O6" s="20"/>
      <c r="P6" s="33">
        <v>1.0</v>
      </c>
      <c r="Q6" s="17" t="s">
        <v>183</v>
      </c>
      <c r="R6" s="20">
        <v>-7.5444991</v>
      </c>
      <c r="S6" s="20">
        <v>110.7352918</v>
      </c>
      <c r="T6" s="20"/>
      <c r="U6" s="33">
        <v>1.0</v>
      </c>
      <c r="V6" s="17" t="s">
        <v>183</v>
      </c>
      <c r="W6" s="20">
        <v>-7.5444991</v>
      </c>
      <c r="X6" s="20">
        <v>110.7352918</v>
      </c>
      <c r="Y6" s="20"/>
      <c r="Z6" s="33">
        <v>1.0</v>
      </c>
      <c r="AA6" s="17" t="s">
        <v>372</v>
      </c>
      <c r="AB6" s="17">
        <v>-7.53426999999999</v>
      </c>
      <c r="AC6" s="17">
        <v>110.84764</v>
      </c>
      <c r="AD6" s="20"/>
      <c r="AE6" s="33">
        <v>1.0</v>
      </c>
      <c r="AF6" s="17" t="s">
        <v>372</v>
      </c>
      <c r="AG6" s="17">
        <v>-7.53426999999999</v>
      </c>
      <c r="AH6" s="17">
        <v>110.84764</v>
      </c>
      <c r="AI6" s="20"/>
      <c r="AJ6" s="33">
        <v>1.0</v>
      </c>
      <c r="AK6" s="17" t="s">
        <v>413</v>
      </c>
      <c r="AL6" s="17">
        <v>-7.52598</v>
      </c>
      <c r="AM6" s="17">
        <v>110.81193</v>
      </c>
      <c r="AN6" s="20"/>
      <c r="AO6" s="33">
        <v>1.0</v>
      </c>
      <c r="AP6" s="17" t="s">
        <v>433</v>
      </c>
      <c r="AQ6" s="17">
        <v>-7.57499</v>
      </c>
      <c r="AR6" s="17">
        <v>110.82642</v>
      </c>
      <c r="AS6" s="20"/>
      <c r="AT6" s="33">
        <v>1.0</v>
      </c>
      <c r="AU6" s="17" t="s">
        <v>433</v>
      </c>
      <c r="AV6" s="17">
        <v>-7.57499</v>
      </c>
      <c r="AW6" s="17">
        <v>110.82642</v>
      </c>
    </row>
    <row r="7">
      <c r="A7" s="33">
        <v>2.0</v>
      </c>
      <c r="B7" s="17" t="s">
        <v>148</v>
      </c>
      <c r="C7" s="19" t="s">
        <v>232</v>
      </c>
      <c r="D7" s="19" t="s">
        <v>233</v>
      </c>
      <c r="E7" s="20"/>
      <c r="F7" s="33">
        <v>2.0</v>
      </c>
      <c r="G7" s="17" t="s">
        <v>148</v>
      </c>
      <c r="H7" s="20">
        <v>-7.5682628</v>
      </c>
      <c r="I7" s="20">
        <v>110.8736291</v>
      </c>
      <c r="J7" s="20"/>
      <c r="K7" s="33">
        <v>2.0</v>
      </c>
      <c r="L7" s="17" t="s">
        <v>279</v>
      </c>
      <c r="M7" s="17">
        <v>-7.55037169999999</v>
      </c>
      <c r="N7" s="17">
        <v>110.7367071</v>
      </c>
      <c r="O7" s="20"/>
      <c r="P7" s="33">
        <v>2.0</v>
      </c>
      <c r="Q7" s="17" t="s">
        <v>182</v>
      </c>
      <c r="R7" s="17">
        <v>-7.54548539999999</v>
      </c>
      <c r="S7" s="17">
        <v>110.743239</v>
      </c>
      <c r="T7" s="20"/>
      <c r="U7" s="33">
        <v>2.0</v>
      </c>
      <c r="V7" s="17" t="s">
        <v>182</v>
      </c>
      <c r="W7" s="17">
        <v>-7.54548539999999</v>
      </c>
      <c r="X7" s="17">
        <v>110.743239</v>
      </c>
      <c r="Y7" s="20"/>
      <c r="Z7" s="33">
        <v>2.0</v>
      </c>
      <c r="AA7" s="23" t="s">
        <v>373</v>
      </c>
      <c r="AB7" s="17">
        <v>-7.5359891</v>
      </c>
      <c r="AC7" s="17">
        <v>110.8454378</v>
      </c>
      <c r="AD7" s="20"/>
      <c r="AE7" s="33">
        <v>2.0</v>
      </c>
      <c r="AF7" s="17" t="s">
        <v>403</v>
      </c>
      <c r="AG7" s="17">
        <v>-7.53763249999999</v>
      </c>
      <c r="AH7" s="17">
        <v>110.8473043</v>
      </c>
      <c r="AI7" s="20"/>
      <c r="AJ7" s="33">
        <v>2.0</v>
      </c>
      <c r="AK7" s="17" t="s">
        <v>414</v>
      </c>
      <c r="AL7" s="17">
        <v>-7.5284005</v>
      </c>
      <c r="AM7" s="17">
        <v>110.8130387</v>
      </c>
      <c r="AN7" s="20"/>
      <c r="AO7" s="33">
        <v>2.0</v>
      </c>
      <c r="AP7" s="17" t="s">
        <v>225</v>
      </c>
      <c r="AQ7" s="17">
        <v>-7.57376999999999</v>
      </c>
      <c r="AR7" s="17">
        <v>110.82936</v>
      </c>
      <c r="AS7" s="20"/>
      <c r="AT7" s="33">
        <v>2.0</v>
      </c>
      <c r="AU7" s="17" t="s">
        <v>225</v>
      </c>
      <c r="AV7" s="17">
        <v>-7.57376999999999</v>
      </c>
      <c r="AW7" s="17">
        <v>110.82936</v>
      </c>
    </row>
    <row r="8">
      <c r="A8" s="33">
        <v>3.0</v>
      </c>
      <c r="B8" s="17" t="s">
        <v>149</v>
      </c>
      <c r="C8" s="19" t="s">
        <v>234</v>
      </c>
      <c r="D8" s="19" t="s">
        <v>235</v>
      </c>
      <c r="E8" s="20"/>
      <c r="F8" s="33">
        <v>3.0</v>
      </c>
      <c r="G8" s="17" t="s">
        <v>149</v>
      </c>
      <c r="H8" s="20">
        <v>-7.5682567</v>
      </c>
      <c r="I8" s="20">
        <v>110.8716592</v>
      </c>
      <c r="J8" s="20"/>
      <c r="K8" s="33">
        <v>3.0</v>
      </c>
      <c r="L8" s="17" t="s">
        <v>280</v>
      </c>
      <c r="M8" s="17">
        <v>-7.55169</v>
      </c>
      <c r="N8" s="17">
        <v>110.73637</v>
      </c>
      <c r="O8" s="20"/>
      <c r="P8" s="33">
        <v>3.0</v>
      </c>
      <c r="Q8" s="17" t="s">
        <v>184</v>
      </c>
      <c r="R8" s="17">
        <v>-7.54257149999999</v>
      </c>
      <c r="S8" s="17">
        <v>110.7444229</v>
      </c>
      <c r="T8" s="20"/>
      <c r="U8" s="33">
        <v>3.0</v>
      </c>
      <c r="V8" s="17" t="s">
        <v>184</v>
      </c>
      <c r="W8" s="17">
        <v>-7.54257149999999</v>
      </c>
      <c r="X8" s="17">
        <v>110.7444229</v>
      </c>
      <c r="Y8" s="20"/>
      <c r="Z8" s="33">
        <v>3.0</v>
      </c>
      <c r="AA8" s="23" t="s">
        <v>374</v>
      </c>
      <c r="AB8" s="17">
        <v>-7.53729</v>
      </c>
      <c r="AC8" s="17">
        <v>110.84281</v>
      </c>
      <c r="AD8" s="20"/>
      <c r="AE8" s="33">
        <v>3.0</v>
      </c>
      <c r="AF8" s="17" t="s">
        <v>404</v>
      </c>
      <c r="AG8" s="17">
        <v>-7.5439</v>
      </c>
      <c r="AH8" s="17">
        <v>110.84203</v>
      </c>
      <c r="AI8" s="20"/>
      <c r="AJ8" s="33">
        <v>3.0</v>
      </c>
      <c r="AK8" s="17" t="s">
        <v>415</v>
      </c>
      <c r="AL8" s="17">
        <v>-7.5296961</v>
      </c>
      <c r="AM8" s="17">
        <v>110.8170136</v>
      </c>
      <c r="AN8" s="20"/>
      <c r="AO8" s="33">
        <v>3.0</v>
      </c>
      <c r="AP8" s="17" t="s">
        <v>226</v>
      </c>
      <c r="AQ8" s="17">
        <v>-7.5752054</v>
      </c>
      <c r="AR8" s="17">
        <v>110.8296154</v>
      </c>
      <c r="AS8" s="20"/>
      <c r="AT8" s="33">
        <v>3.0</v>
      </c>
      <c r="AU8" s="17" t="s">
        <v>463</v>
      </c>
      <c r="AV8" s="17">
        <v>-7.562999</v>
      </c>
      <c r="AW8" s="17">
        <v>110.84478</v>
      </c>
    </row>
    <row r="9">
      <c r="A9" s="33">
        <v>4.0</v>
      </c>
      <c r="B9" s="17" t="s">
        <v>150</v>
      </c>
      <c r="C9" s="17">
        <v>-7.56649</v>
      </c>
      <c r="D9" s="17">
        <v>110.86883</v>
      </c>
      <c r="E9" s="20"/>
      <c r="F9" s="33">
        <v>4.0</v>
      </c>
      <c r="G9" s="17" t="s">
        <v>150</v>
      </c>
      <c r="H9" s="20">
        <v>-7.567152</v>
      </c>
      <c r="I9" s="20">
        <v>110.8692467</v>
      </c>
      <c r="J9" s="20"/>
      <c r="K9" s="33">
        <v>4.0</v>
      </c>
      <c r="L9" s="17" t="s">
        <v>281</v>
      </c>
      <c r="M9" s="20">
        <v>-7.551957</v>
      </c>
      <c r="N9" s="20">
        <v>110.7404109</v>
      </c>
      <c r="O9" s="20"/>
      <c r="P9" s="33">
        <v>4.0</v>
      </c>
      <c r="Q9" s="17" t="s">
        <v>185</v>
      </c>
      <c r="R9" s="20">
        <v>-7.6299521</v>
      </c>
      <c r="S9" s="20">
        <v>111.5351936</v>
      </c>
      <c r="T9" s="20"/>
      <c r="U9" s="33">
        <v>4.0</v>
      </c>
      <c r="V9" s="17" t="s">
        <v>185</v>
      </c>
      <c r="W9" s="20">
        <v>-7.6299521</v>
      </c>
      <c r="X9" s="20">
        <v>111.5351936</v>
      </c>
      <c r="Y9" s="20"/>
      <c r="Z9" s="33">
        <v>4.0</v>
      </c>
      <c r="AA9" s="23" t="s">
        <v>375</v>
      </c>
      <c r="AB9" s="17">
        <v>-7.53681999999999</v>
      </c>
      <c r="AC9" s="17">
        <v>110.84076</v>
      </c>
      <c r="AD9" s="20"/>
      <c r="AE9" s="33">
        <v>4.0</v>
      </c>
      <c r="AF9" s="17" t="s">
        <v>405</v>
      </c>
      <c r="AG9" s="17">
        <v>-7.54627</v>
      </c>
      <c r="AH9" s="17">
        <v>110.84139</v>
      </c>
      <c r="AI9" s="20"/>
      <c r="AJ9" s="33">
        <v>4.0</v>
      </c>
      <c r="AK9" s="17" t="s">
        <v>416</v>
      </c>
      <c r="AL9" s="17">
        <v>-7.5327352</v>
      </c>
      <c r="AM9" s="17">
        <v>110.8128067</v>
      </c>
      <c r="AN9" s="20"/>
      <c r="AO9" s="33">
        <v>4.0</v>
      </c>
      <c r="AP9" s="17" t="s">
        <v>227</v>
      </c>
      <c r="AQ9" s="17">
        <v>-7.57607</v>
      </c>
      <c r="AR9" s="17">
        <v>110.82909</v>
      </c>
      <c r="AS9" s="20"/>
      <c r="AT9" s="33">
        <v>4.0</v>
      </c>
      <c r="AU9" s="17" t="s">
        <v>464</v>
      </c>
      <c r="AV9" s="17">
        <v>-7.57368749999999</v>
      </c>
      <c r="AW9" s="17">
        <v>110.8313159</v>
      </c>
    </row>
    <row r="10">
      <c r="A10" s="33">
        <v>5.0</v>
      </c>
      <c r="B10" s="17" t="s">
        <v>151</v>
      </c>
      <c r="C10" s="17">
        <v>-7.56545</v>
      </c>
      <c r="D10" s="17">
        <v>110.86489</v>
      </c>
      <c r="E10" s="20"/>
      <c r="F10" s="33">
        <v>5.0</v>
      </c>
      <c r="G10" s="17" t="s">
        <v>512</v>
      </c>
      <c r="H10" s="20">
        <v>-7.5660787</v>
      </c>
      <c r="I10" s="20">
        <v>110.8645285</v>
      </c>
      <c r="J10" s="20"/>
      <c r="K10" s="33">
        <v>5.0</v>
      </c>
      <c r="L10" s="17" t="s">
        <v>282</v>
      </c>
      <c r="M10" s="17">
        <v>-7.55491</v>
      </c>
      <c r="N10" s="17">
        <v>110.74142</v>
      </c>
      <c r="O10" s="20"/>
      <c r="P10" s="33">
        <v>5.0</v>
      </c>
      <c r="Q10" s="17" t="s">
        <v>186</v>
      </c>
      <c r="R10" s="17">
        <v>-7.53460999999999</v>
      </c>
      <c r="S10" s="17">
        <v>110.74673</v>
      </c>
      <c r="T10" s="20"/>
      <c r="U10" s="33">
        <v>5.0</v>
      </c>
      <c r="V10" s="17" t="s">
        <v>186</v>
      </c>
      <c r="W10" s="17">
        <v>-7.53460999999999</v>
      </c>
      <c r="X10" s="17">
        <v>110.74673</v>
      </c>
      <c r="Y10" s="20"/>
      <c r="Z10" s="33">
        <v>5.0</v>
      </c>
      <c r="AA10" s="23" t="s">
        <v>376</v>
      </c>
      <c r="AB10" s="17">
        <v>-7.53622999999999</v>
      </c>
      <c r="AC10" s="17">
        <v>110.8391</v>
      </c>
      <c r="AD10" s="20"/>
      <c r="AE10" s="33">
        <v>5.0</v>
      </c>
      <c r="AF10" s="17" t="s">
        <v>406</v>
      </c>
      <c r="AG10" s="17">
        <v>-7.55075999999999</v>
      </c>
      <c r="AH10" s="17">
        <v>110.84052</v>
      </c>
      <c r="AI10" s="20"/>
      <c r="AJ10" s="33">
        <v>5.0</v>
      </c>
      <c r="AK10" s="17" t="s">
        <v>417</v>
      </c>
      <c r="AL10" s="17">
        <v>-7.53464</v>
      </c>
      <c r="AM10" s="17">
        <v>110.81287</v>
      </c>
      <c r="AN10" s="20"/>
      <c r="AO10" s="33">
        <v>5.0</v>
      </c>
      <c r="AP10" s="17" t="s">
        <v>434</v>
      </c>
      <c r="AQ10" s="17">
        <v>-7.57682999999999</v>
      </c>
      <c r="AR10" s="17">
        <v>110.83078</v>
      </c>
      <c r="AS10" s="20"/>
      <c r="AT10" s="33">
        <v>5.0</v>
      </c>
      <c r="AU10" s="17" t="s">
        <v>465</v>
      </c>
      <c r="AV10" s="17">
        <v>-7.5734005</v>
      </c>
      <c r="AW10" s="17">
        <v>110.8334058</v>
      </c>
    </row>
    <row r="11">
      <c r="A11" s="33">
        <v>6.0</v>
      </c>
      <c r="B11" s="17" t="s">
        <v>152</v>
      </c>
      <c r="C11" s="17">
        <v>-7.56387999999999</v>
      </c>
      <c r="D11" s="17">
        <v>110.6196629</v>
      </c>
      <c r="E11" s="20"/>
      <c r="F11" s="33">
        <v>6.0</v>
      </c>
      <c r="G11" s="17" t="s">
        <v>495</v>
      </c>
      <c r="H11" s="20">
        <v>-7.5656964</v>
      </c>
      <c r="I11" s="20">
        <v>110.8586469</v>
      </c>
      <c r="J11" s="20"/>
      <c r="K11" s="33">
        <v>6.0</v>
      </c>
      <c r="L11" s="17" t="s">
        <v>283</v>
      </c>
      <c r="M11" s="17">
        <v>-7.55676</v>
      </c>
      <c r="N11" s="17">
        <v>110.74478</v>
      </c>
      <c r="O11" s="20"/>
      <c r="P11" s="33">
        <v>6.0</v>
      </c>
      <c r="Q11" s="17" t="s">
        <v>305</v>
      </c>
      <c r="R11" s="17">
        <v>-7.53224349999999</v>
      </c>
      <c r="S11" s="17">
        <v>110.7473305</v>
      </c>
      <c r="T11" s="20"/>
      <c r="U11" s="33">
        <v>6.0</v>
      </c>
      <c r="V11" s="17" t="s">
        <v>187</v>
      </c>
      <c r="W11" s="17">
        <v>-7.53182749999999</v>
      </c>
      <c r="X11" s="17">
        <v>110.7472589</v>
      </c>
      <c r="Y11" s="20"/>
      <c r="Z11" s="33">
        <v>6.0</v>
      </c>
      <c r="AA11" s="23" t="s">
        <v>377</v>
      </c>
      <c r="AB11" s="17">
        <v>-7.53564999999999</v>
      </c>
      <c r="AC11" s="17">
        <v>110.83737</v>
      </c>
      <c r="AD11" s="20"/>
      <c r="AE11" s="33">
        <v>6.0</v>
      </c>
      <c r="AF11" s="17" t="s">
        <v>407</v>
      </c>
      <c r="AG11" s="17">
        <v>-7.55221</v>
      </c>
      <c r="AH11" s="17">
        <v>110.84021</v>
      </c>
      <c r="AI11" s="20"/>
      <c r="AJ11" s="33">
        <v>6.0</v>
      </c>
      <c r="AK11" s="17" t="s">
        <v>418</v>
      </c>
      <c r="AL11" s="17">
        <v>-7.53893</v>
      </c>
      <c r="AM11" s="17">
        <v>110.81225</v>
      </c>
      <c r="AN11" s="20"/>
      <c r="AO11" s="33">
        <v>6.0</v>
      </c>
      <c r="AP11" s="17" t="s">
        <v>435</v>
      </c>
      <c r="AQ11" s="17">
        <v>-7.57874999999999</v>
      </c>
      <c r="AR11" s="17">
        <v>110.83151</v>
      </c>
      <c r="AS11" s="20"/>
      <c r="AT11" s="33">
        <v>6.0</v>
      </c>
      <c r="AU11" s="17" t="s">
        <v>466</v>
      </c>
      <c r="AV11" s="17">
        <v>-7.57186</v>
      </c>
      <c r="AW11" s="17">
        <v>110.83301</v>
      </c>
    </row>
    <row r="12">
      <c r="A12" s="33">
        <v>7.0</v>
      </c>
      <c r="B12" s="17" t="s">
        <v>153</v>
      </c>
      <c r="C12" s="17">
        <v>-7.56495</v>
      </c>
      <c r="D12" s="17">
        <v>110.85681</v>
      </c>
      <c r="E12" s="20"/>
      <c r="F12" s="33">
        <v>7.0</v>
      </c>
      <c r="G12" s="17" t="s">
        <v>153</v>
      </c>
      <c r="H12" s="20">
        <v>-7.56494</v>
      </c>
      <c r="I12" s="20">
        <v>110.8568032</v>
      </c>
      <c r="J12" s="20"/>
      <c r="K12" s="33">
        <v>7.0</v>
      </c>
      <c r="L12" s="17" t="s">
        <v>284</v>
      </c>
      <c r="M12" s="17">
        <v>-7.55885</v>
      </c>
      <c r="N12" s="17">
        <v>110.74826</v>
      </c>
      <c r="O12" s="20"/>
      <c r="P12" s="33">
        <v>7.0</v>
      </c>
      <c r="Q12" s="17" t="s">
        <v>306</v>
      </c>
      <c r="R12" s="17">
        <v>-7.5332856</v>
      </c>
      <c r="S12" s="17">
        <v>110.7521496</v>
      </c>
      <c r="T12" s="20"/>
      <c r="U12" s="33">
        <v>7.0</v>
      </c>
      <c r="V12" s="17" t="s">
        <v>338</v>
      </c>
      <c r="W12" s="17">
        <v>-7.52989</v>
      </c>
      <c r="X12" s="17">
        <v>110.75125</v>
      </c>
      <c r="Y12" s="20"/>
      <c r="Z12" s="33">
        <v>7.0</v>
      </c>
      <c r="AA12" s="23" t="s">
        <v>378</v>
      </c>
      <c r="AB12" s="17">
        <v>-7.5369588</v>
      </c>
      <c r="AC12" s="17">
        <v>110.8370794</v>
      </c>
      <c r="AD12" s="20"/>
      <c r="AE12" s="33">
        <v>7.0</v>
      </c>
      <c r="AF12" s="17" t="s">
        <v>408</v>
      </c>
      <c r="AG12" s="17">
        <v>-7.5537</v>
      </c>
      <c r="AH12" s="17">
        <v>110.83924</v>
      </c>
      <c r="AI12" s="20"/>
      <c r="AJ12" s="33">
        <v>7.0</v>
      </c>
      <c r="AK12" s="17" t="s">
        <v>419</v>
      </c>
      <c r="AL12" s="17">
        <v>-7.5408</v>
      </c>
      <c r="AM12" s="17">
        <v>110.81279</v>
      </c>
      <c r="AN12" s="20"/>
      <c r="AO12" s="33">
        <v>7.0</v>
      </c>
      <c r="AP12" s="17" t="s">
        <v>436</v>
      </c>
      <c r="AQ12" s="17">
        <v>-7.5817821</v>
      </c>
      <c r="AR12" s="17">
        <v>110.8314041</v>
      </c>
      <c r="AS12" s="20"/>
      <c r="AT12" s="60">
        <v>7.0</v>
      </c>
      <c r="AU12" s="17" t="s">
        <v>467</v>
      </c>
      <c r="AV12" s="17">
        <v>-7.57092</v>
      </c>
      <c r="AW12" s="17">
        <v>110.83065</v>
      </c>
    </row>
    <row r="13">
      <c r="A13" s="33">
        <v>8.0</v>
      </c>
      <c r="B13" s="17" t="s">
        <v>154</v>
      </c>
      <c r="C13" s="17">
        <v>-7.5594886</v>
      </c>
      <c r="D13" s="17">
        <v>110.8563295</v>
      </c>
      <c r="E13" s="20"/>
      <c r="F13" s="33">
        <v>8.0</v>
      </c>
      <c r="G13" s="17" t="s">
        <v>531</v>
      </c>
      <c r="H13" s="20">
        <v>-7.5643634</v>
      </c>
      <c r="I13" s="20">
        <v>110.855116</v>
      </c>
      <c r="J13" s="20"/>
      <c r="K13" s="33">
        <v>8.0</v>
      </c>
      <c r="L13" s="17" t="s">
        <v>285</v>
      </c>
      <c r="M13" s="17">
        <v>-7.56105</v>
      </c>
      <c r="N13" s="17">
        <v>110.75486</v>
      </c>
      <c r="O13" s="20"/>
      <c r="P13" s="33">
        <v>8.0</v>
      </c>
      <c r="Q13" s="17" t="s">
        <v>307</v>
      </c>
      <c r="R13" s="17">
        <v>-7.53517419999999</v>
      </c>
      <c r="S13" s="17">
        <v>110.7549059</v>
      </c>
      <c r="T13" s="20"/>
      <c r="U13" s="33">
        <v>8.0</v>
      </c>
      <c r="V13" s="17" t="s">
        <v>339</v>
      </c>
      <c r="W13" s="17">
        <v>-7.53033</v>
      </c>
      <c r="X13" s="17">
        <v>119.75564</v>
      </c>
      <c r="Y13" s="20"/>
      <c r="Z13" s="33">
        <v>8.0</v>
      </c>
      <c r="AA13" s="23" t="s">
        <v>379</v>
      </c>
      <c r="AB13" s="17">
        <v>-7.5398062</v>
      </c>
      <c r="AC13" s="17">
        <v>110.8364925</v>
      </c>
      <c r="AD13" s="20"/>
      <c r="AE13" s="33">
        <v>8.0</v>
      </c>
      <c r="AF13" s="17" t="s">
        <v>331</v>
      </c>
      <c r="AG13" s="17">
        <v>-7.55622999999999</v>
      </c>
      <c r="AH13" s="17">
        <v>110.83846</v>
      </c>
      <c r="AI13" s="20"/>
      <c r="AJ13" s="33">
        <v>8.0</v>
      </c>
      <c r="AK13" s="17" t="s">
        <v>420</v>
      </c>
      <c r="AL13" s="17">
        <v>-7.54238</v>
      </c>
      <c r="AM13" s="17">
        <v>110.8127</v>
      </c>
      <c r="AN13" s="20"/>
      <c r="AO13" s="33">
        <v>8.0</v>
      </c>
      <c r="AP13" s="17" t="s">
        <v>437</v>
      </c>
      <c r="AQ13" s="17">
        <v>-7.58285</v>
      </c>
      <c r="AR13" s="17">
        <v>110.82998</v>
      </c>
      <c r="AS13" s="20"/>
      <c r="AT13" s="33">
        <v>8.0</v>
      </c>
      <c r="AU13" s="17" t="s">
        <v>521</v>
      </c>
      <c r="AV13" s="17">
        <v>-7.57110669999999</v>
      </c>
      <c r="AW13" s="17">
        <v>110.8294726</v>
      </c>
    </row>
    <row r="14">
      <c r="A14" s="33">
        <v>9.0</v>
      </c>
      <c r="B14" s="17" t="s">
        <v>155</v>
      </c>
      <c r="C14" s="17">
        <v>-7.56365</v>
      </c>
      <c r="D14" s="17">
        <v>110.85256</v>
      </c>
      <c r="E14" s="20"/>
      <c r="F14" s="33">
        <v>9.0</v>
      </c>
      <c r="G14" s="17" t="s">
        <v>155</v>
      </c>
      <c r="H14" s="20">
        <v>-7.5638249</v>
      </c>
      <c r="I14" s="20">
        <v>110.8522496</v>
      </c>
      <c r="J14" s="20"/>
      <c r="K14" s="33">
        <v>9.0</v>
      </c>
      <c r="L14" s="17" t="s">
        <v>286</v>
      </c>
      <c r="M14" s="17">
        <v>-7.56208</v>
      </c>
      <c r="N14" s="17">
        <v>110.75799</v>
      </c>
      <c r="O14" s="20"/>
      <c r="P14" s="33">
        <v>9.0</v>
      </c>
      <c r="Q14" s="17" t="s">
        <v>308</v>
      </c>
      <c r="R14" s="20">
        <v>-7.5373049</v>
      </c>
      <c r="S14" s="20">
        <v>110.7578896</v>
      </c>
      <c r="T14" s="20"/>
      <c r="U14" s="33">
        <v>9.0</v>
      </c>
      <c r="V14" s="17" t="s">
        <v>340</v>
      </c>
      <c r="W14" s="17">
        <v>-7.53108999999999</v>
      </c>
      <c r="X14" s="17">
        <v>110.75853</v>
      </c>
      <c r="Y14" s="20"/>
      <c r="Z14" s="33">
        <v>9.0</v>
      </c>
      <c r="AA14" s="23" t="s">
        <v>380</v>
      </c>
      <c r="AB14" s="17">
        <v>-7.5268371</v>
      </c>
      <c r="AC14" s="17">
        <v>110.8238804</v>
      </c>
      <c r="AD14" s="20"/>
      <c r="AE14" s="33">
        <v>9.0</v>
      </c>
      <c r="AF14" s="17" t="s">
        <v>409</v>
      </c>
      <c r="AG14" s="17">
        <v>-7.55991199999999</v>
      </c>
      <c r="AH14" s="17">
        <v>110.838502</v>
      </c>
      <c r="AI14" s="20"/>
      <c r="AJ14" s="33">
        <v>9.0</v>
      </c>
      <c r="AK14" s="17" t="s">
        <v>421</v>
      </c>
      <c r="AL14" s="17">
        <v>-7.54238</v>
      </c>
      <c r="AM14" s="17">
        <v>110.81505</v>
      </c>
      <c r="AN14" s="20"/>
      <c r="AO14" s="33">
        <v>9.0</v>
      </c>
      <c r="AP14" s="17" t="s">
        <v>215</v>
      </c>
      <c r="AQ14" s="17">
        <v>-7.58456</v>
      </c>
      <c r="AR14" s="17">
        <v>110.82875</v>
      </c>
      <c r="AS14" s="20"/>
      <c r="AT14" s="33">
        <v>9.0</v>
      </c>
      <c r="AU14" s="17" t="s">
        <v>171</v>
      </c>
      <c r="AV14" s="17">
        <v>-7.5694476</v>
      </c>
      <c r="AW14" s="17">
        <v>110.829594</v>
      </c>
    </row>
    <row r="15">
      <c r="A15" s="33">
        <v>10.0</v>
      </c>
      <c r="B15" s="17" t="s">
        <v>156</v>
      </c>
      <c r="C15" s="17">
        <v>-7.5614</v>
      </c>
      <c r="D15" s="17">
        <v>110.84922</v>
      </c>
      <c r="E15" s="20"/>
      <c r="F15" s="33">
        <v>10.0</v>
      </c>
      <c r="G15" s="17" t="s">
        <v>532</v>
      </c>
      <c r="H15" s="20">
        <v>-7.5613985</v>
      </c>
      <c r="I15" s="20">
        <v>110.8492272</v>
      </c>
      <c r="J15" s="20"/>
      <c r="K15" s="33">
        <v>10.0</v>
      </c>
      <c r="L15" s="17" t="s">
        <v>287</v>
      </c>
      <c r="M15" s="17">
        <v>-7.56331</v>
      </c>
      <c r="N15" s="17">
        <v>110.76157</v>
      </c>
      <c r="O15" s="20"/>
      <c r="P15" s="33">
        <v>10.0</v>
      </c>
      <c r="Q15" s="17" t="s">
        <v>309</v>
      </c>
      <c r="R15" s="17">
        <v>-7.5379275</v>
      </c>
      <c r="S15" s="17">
        <v>110.7599966</v>
      </c>
      <c r="T15" s="20"/>
      <c r="U15" s="33">
        <v>10.0</v>
      </c>
      <c r="V15" s="17" t="s">
        <v>341</v>
      </c>
      <c r="W15" s="17">
        <v>-7.53007659999999</v>
      </c>
      <c r="X15" s="17">
        <v>110.7618114</v>
      </c>
      <c r="Y15" s="20"/>
      <c r="Z15" s="33">
        <v>10.0</v>
      </c>
      <c r="AA15" s="23" t="s">
        <v>381</v>
      </c>
      <c r="AB15" s="17">
        <v>-7.54788999999999</v>
      </c>
      <c r="AC15" s="17">
        <v>110.83053</v>
      </c>
      <c r="AD15" s="20"/>
      <c r="AE15" s="33">
        <v>10.0</v>
      </c>
      <c r="AF15" s="17" t="s">
        <v>188</v>
      </c>
      <c r="AG15" s="17">
        <v>-7.55937</v>
      </c>
      <c r="AH15" s="17">
        <v>110.83559</v>
      </c>
      <c r="AI15" s="20"/>
      <c r="AJ15" s="33">
        <v>10.0</v>
      </c>
      <c r="AK15" s="17" t="s">
        <v>422</v>
      </c>
      <c r="AL15" s="17">
        <v>-7.5470739</v>
      </c>
      <c r="AM15" s="17">
        <v>110.821048</v>
      </c>
      <c r="AN15" s="20"/>
      <c r="AO15" s="33">
        <v>10.0</v>
      </c>
      <c r="AP15" s="17" t="s">
        <v>214</v>
      </c>
      <c r="AQ15" s="17">
        <v>-7.58356249999999</v>
      </c>
      <c r="AR15" s="17">
        <v>110.8263556</v>
      </c>
      <c r="AS15" s="20"/>
      <c r="AT15" s="33">
        <v>10.0</v>
      </c>
      <c r="AU15" s="17" t="s">
        <v>170</v>
      </c>
      <c r="AV15" s="17">
        <v>-7.569377</v>
      </c>
      <c r="AW15" s="17">
        <v>110.8315563</v>
      </c>
    </row>
    <row r="16">
      <c r="A16" s="33">
        <v>11.0</v>
      </c>
      <c r="B16" s="17" t="s">
        <v>157</v>
      </c>
      <c r="C16" s="17">
        <v>-7.55856</v>
      </c>
      <c r="D16" s="17">
        <v>110.84812</v>
      </c>
      <c r="E16" s="20"/>
      <c r="F16" s="33">
        <v>11.0</v>
      </c>
      <c r="G16" s="17" t="s">
        <v>533</v>
      </c>
      <c r="H16" s="17">
        <v>-7.55856</v>
      </c>
      <c r="I16" s="17">
        <v>110.84812</v>
      </c>
      <c r="J16" s="20"/>
      <c r="K16" s="33">
        <v>11.0</v>
      </c>
      <c r="L16" s="17" t="s">
        <v>288</v>
      </c>
      <c r="M16" s="17">
        <v>-7.56409</v>
      </c>
      <c r="N16" s="17">
        <v>110.76441</v>
      </c>
      <c r="O16" s="20"/>
      <c r="P16" s="33">
        <v>11.0</v>
      </c>
      <c r="Q16" s="17" t="s">
        <v>310</v>
      </c>
      <c r="R16" s="17">
        <v>-7.53961</v>
      </c>
      <c r="S16" s="17">
        <v>110.76249</v>
      </c>
      <c r="T16" s="20"/>
      <c r="U16" s="33">
        <v>11.0</v>
      </c>
      <c r="V16" s="17" t="s">
        <v>342</v>
      </c>
      <c r="W16" s="17">
        <v>-7.53252</v>
      </c>
      <c r="X16" s="17">
        <v>110.76544</v>
      </c>
      <c r="Y16" s="20"/>
      <c r="Z16" s="33">
        <v>11.0</v>
      </c>
      <c r="AA16" s="15" t="s">
        <v>382</v>
      </c>
      <c r="AB16" s="24">
        <v>-7.5502049</v>
      </c>
      <c r="AC16" s="24">
        <v>110.8301422</v>
      </c>
      <c r="AD16" s="20"/>
      <c r="AE16" s="33">
        <v>11.0</v>
      </c>
      <c r="AF16" s="17" t="s">
        <v>189</v>
      </c>
      <c r="AG16" s="17">
        <v>-7.55907</v>
      </c>
      <c r="AH16" s="17">
        <v>110.83246</v>
      </c>
      <c r="AI16" s="20"/>
      <c r="AJ16" s="33">
        <v>11.0</v>
      </c>
      <c r="AK16" s="17" t="s">
        <v>423</v>
      </c>
      <c r="AL16" s="17">
        <v>-7.551</v>
      </c>
      <c r="AM16" s="17">
        <v>110.82199</v>
      </c>
      <c r="AN16" s="20"/>
      <c r="AO16" s="33">
        <v>11.0</v>
      </c>
      <c r="AP16" s="17" t="s">
        <v>438</v>
      </c>
      <c r="AQ16" s="17">
        <v>-7.58495</v>
      </c>
      <c r="AR16" s="17">
        <v>110.82536</v>
      </c>
      <c r="AS16" s="20"/>
      <c r="AT16" s="33">
        <v>11.0</v>
      </c>
      <c r="AU16" s="17" t="s">
        <v>523</v>
      </c>
      <c r="AV16" s="17">
        <v>-7.56717999999999</v>
      </c>
      <c r="AW16" s="17">
        <v>110.83263</v>
      </c>
    </row>
    <row r="17">
      <c r="A17" s="33">
        <v>12.0</v>
      </c>
      <c r="B17" s="17" t="s">
        <v>236</v>
      </c>
      <c r="C17" s="17">
        <v>-7.558082</v>
      </c>
      <c r="D17" s="17">
        <v>110.8464</v>
      </c>
      <c r="E17" s="17"/>
      <c r="F17" s="33">
        <v>12.0</v>
      </c>
      <c r="G17" s="17" t="s">
        <v>236</v>
      </c>
      <c r="H17" s="17">
        <v>-7.558082</v>
      </c>
      <c r="I17" s="17">
        <v>110.8464</v>
      </c>
      <c r="J17" s="20"/>
      <c r="K17" s="33">
        <v>12.0</v>
      </c>
      <c r="L17" s="17" t="s">
        <v>289</v>
      </c>
      <c r="M17" s="17">
        <v>-7.56503999999999</v>
      </c>
      <c r="N17" s="17">
        <v>110.76733</v>
      </c>
      <c r="O17" s="20"/>
      <c r="P17" s="33">
        <v>12.0</v>
      </c>
      <c r="Q17" s="17" t="s">
        <v>311</v>
      </c>
      <c r="R17" s="17">
        <v>-7.54152599999999</v>
      </c>
      <c r="S17" s="17">
        <v>110.766359</v>
      </c>
      <c r="U17" s="33">
        <v>12.0</v>
      </c>
      <c r="V17" s="17" t="s">
        <v>343</v>
      </c>
      <c r="W17" s="17">
        <v>-7.53270999999999</v>
      </c>
      <c r="X17" s="17">
        <v>110.76873</v>
      </c>
      <c r="Y17" s="20"/>
      <c r="Z17" s="33">
        <v>12.0</v>
      </c>
      <c r="AA17" s="17" t="s">
        <v>383</v>
      </c>
      <c r="AB17" s="17">
        <v>-7.55248119999999</v>
      </c>
      <c r="AC17" s="17">
        <v>110.8294831</v>
      </c>
      <c r="AD17" s="20"/>
      <c r="AE17" s="33">
        <v>12.0</v>
      </c>
      <c r="AF17" s="17" t="s">
        <v>190</v>
      </c>
      <c r="AG17" s="17">
        <v>-7.5588525</v>
      </c>
      <c r="AH17" s="17">
        <v>110.8302689</v>
      </c>
      <c r="AI17" s="20"/>
      <c r="AJ17" s="33">
        <v>12.0</v>
      </c>
      <c r="AK17" s="17" t="s">
        <v>211</v>
      </c>
      <c r="AL17" s="17">
        <v>-7.55188679999999</v>
      </c>
      <c r="AM17" s="17">
        <v>110.8195409</v>
      </c>
      <c r="AN17" s="20"/>
      <c r="AO17" s="33">
        <v>12.0</v>
      </c>
      <c r="AP17" s="17" t="s">
        <v>439</v>
      </c>
      <c r="AQ17" s="17">
        <v>-7.58923</v>
      </c>
      <c r="AR17" s="17">
        <v>110.82371</v>
      </c>
      <c r="AS17" s="20"/>
      <c r="AT17" s="33">
        <v>12.0</v>
      </c>
      <c r="AU17" s="17" t="s">
        <v>468</v>
      </c>
      <c r="AV17" s="17">
        <v>-7.56678179999999</v>
      </c>
      <c r="AW17" s="17">
        <v>110.8347257</v>
      </c>
    </row>
    <row r="18">
      <c r="A18" s="33">
        <v>13.0</v>
      </c>
      <c r="B18" s="17" t="s">
        <v>66</v>
      </c>
      <c r="C18" s="17">
        <v>-7.559202</v>
      </c>
      <c r="D18" s="17">
        <v>110.84381</v>
      </c>
      <c r="E18" s="17"/>
      <c r="F18" s="33">
        <v>13.0</v>
      </c>
      <c r="G18" s="17" t="s">
        <v>501</v>
      </c>
      <c r="H18" s="17">
        <v>-7.559202</v>
      </c>
      <c r="I18" s="17">
        <v>110.84381</v>
      </c>
      <c r="J18" s="20"/>
      <c r="K18" s="33">
        <v>13.0</v>
      </c>
      <c r="L18" s="17" t="s">
        <v>290</v>
      </c>
      <c r="M18" s="17">
        <v>-7.56593999999999</v>
      </c>
      <c r="N18" s="17">
        <v>110.7718</v>
      </c>
      <c r="O18" s="20"/>
      <c r="P18" s="33">
        <v>13.0</v>
      </c>
      <c r="Q18" s="17" t="s">
        <v>312</v>
      </c>
      <c r="R18" s="20">
        <v>-7.5429682</v>
      </c>
      <c r="S18" s="17">
        <v>110.76914</v>
      </c>
      <c r="T18" s="20"/>
      <c r="U18" s="33">
        <v>13.0</v>
      </c>
      <c r="V18" s="17" t="s">
        <v>344</v>
      </c>
      <c r="W18" s="17">
        <v>-7.53353</v>
      </c>
      <c r="X18" s="17">
        <v>110.7718</v>
      </c>
      <c r="Y18" s="20"/>
      <c r="Z18" s="33">
        <v>13.0</v>
      </c>
      <c r="AA18" s="17" t="s">
        <v>384</v>
      </c>
      <c r="AB18" s="17">
        <v>-7.5549</v>
      </c>
      <c r="AC18" s="17">
        <v>110.8293</v>
      </c>
      <c r="AD18" s="20"/>
      <c r="AE18" s="33">
        <v>13.0</v>
      </c>
      <c r="AF18" s="17" t="s">
        <v>220</v>
      </c>
      <c r="AG18" s="17">
        <v>-7.55898</v>
      </c>
      <c r="AH18" s="17">
        <v>110.82847</v>
      </c>
      <c r="AI18" s="20"/>
      <c r="AJ18" s="33">
        <v>13.0</v>
      </c>
      <c r="AK18" s="17" t="s">
        <v>424</v>
      </c>
      <c r="AL18" s="17">
        <v>-7.55298999999999</v>
      </c>
      <c r="AM18" s="17">
        <v>110.82264</v>
      </c>
      <c r="AN18" s="20"/>
      <c r="AO18" s="33">
        <v>13.0</v>
      </c>
      <c r="AP18" s="17" t="s">
        <v>440</v>
      </c>
      <c r="AQ18" s="17">
        <v>-7.58866</v>
      </c>
      <c r="AR18" s="17">
        <v>110.8203</v>
      </c>
      <c r="AS18" s="20"/>
      <c r="AT18" s="33">
        <v>13.0</v>
      </c>
      <c r="AU18" s="17" t="s">
        <v>469</v>
      </c>
      <c r="AV18" s="17">
        <v>-7.56761789999999</v>
      </c>
      <c r="AW18" s="17">
        <v>110.8363499</v>
      </c>
    </row>
    <row r="19">
      <c r="A19" s="33">
        <v>14.0</v>
      </c>
      <c r="B19" s="17" t="s">
        <v>67</v>
      </c>
      <c r="C19" s="17">
        <v>-7.55870479999999</v>
      </c>
      <c r="D19" s="17">
        <v>110.8418721</v>
      </c>
      <c r="E19" s="20"/>
      <c r="F19" s="33">
        <v>14.0</v>
      </c>
      <c r="G19" s="17" t="s">
        <v>502</v>
      </c>
      <c r="H19" s="17">
        <v>-7.55870479999999</v>
      </c>
      <c r="I19" s="17">
        <v>110.8418721</v>
      </c>
      <c r="J19" s="20"/>
      <c r="K19" s="33">
        <v>14.0</v>
      </c>
      <c r="L19" s="17" t="s">
        <v>291</v>
      </c>
      <c r="M19" s="17">
        <v>-7.5649801</v>
      </c>
      <c r="N19" s="17">
        <v>110.7735773</v>
      </c>
      <c r="O19" s="20"/>
      <c r="P19" s="33">
        <v>14.0</v>
      </c>
      <c r="Q19" s="17" t="s">
        <v>313</v>
      </c>
      <c r="R19" s="17">
        <v>-7.54389</v>
      </c>
      <c r="S19" s="17">
        <v>110.7715</v>
      </c>
      <c r="T19" s="20"/>
      <c r="U19" s="33">
        <v>14.0</v>
      </c>
      <c r="V19" s="17" t="s">
        <v>345</v>
      </c>
      <c r="W19" s="17">
        <v>-7.5340888</v>
      </c>
      <c r="X19" s="17">
        <v>110.7760432</v>
      </c>
      <c r="Y19" s="20"/>
      <c r="Z19" s="33">
        <v>14.0</v>
      </c>
      <c r="AA19" s="15" t="s">
        <v>220</v>
      </c>
      <c r="AB19" s="24">
        <v>-7.55898</v>
      </c>
      <c r="AC19" s="24">
        <v>110.82847</v>
      </c>
      <c r="AD19" s="20"/>
      <c r="AE19" s="33">
        <v>14.0</v>
      </c>
      <c r="AF19" s="17" t="s">
        <v>410</v>
      </c>
      <c r="AG19" s="17">
        <v>-7.56025859999999</v>
      </c>
      <c r="AH19" s="17">
        <v>110.8285074</v>
      </c>
      <c r="AI19" s="20"/>
      <c r="AJ19" s="33">
        <v>14.0</v>
      </c>
      <c r="AK19" s="17" t="s">
        <v>425</v>
      </c>
      <c r="AL19" s="17">
        <v>-7.5917899</v>
      </c>
      <c r="AM19" s="17">
        <v>110.8337084</v>
      </c>
      <c r="AN19" s="20"/>
      <c r="AO19" s="33">
        <v>14.0</v>
      </c>
      <c r="AP19" s="17" t="s">
        <v>441</v>
      </c>
      <c r="AQ19" s="17">
        <v>-7.58496999999999</v>
      </c>
      <c r="AR19" s="17">
        <v>110.81601</v>
      </c>
      <c r="AS19" s="20"/>
      <c r="AT19" s="33">
        <v>14.0</v>
      </c>
      <c r="AU19" s="17" t="s">
        <v>470</v>
      </c>
      <c r="AV19" s="17">
        <v>-7.5666989</v>
      </c>
      <c r="AW19" s="17">
        <v>110.8387806</v>
      </c>
    </row>
    <row r="20">
      <c r="A20" s="33">
        <v>15.0</v>
      </c>
      <c r="B20" s="17" t="s">
        <v>69</v>
      </c>
      <c r="C20" s="17">
        <v>-7.5602845</v>
      </c>
      <c r="D20" s="17">
        <v>110.8402108</v>
      </c>
      <c r="E20" s="20"/>
      <c r="F20" s="33">
        <v>15.0</v>
      </c>
      <c r="G20" s="17" t="s">
        <v>503</v>
      </c>
      <c r="H20" s="17">
        <v>-7.5602845</v>
      </c>
      <c r="I20" s="17">
        <v>110.8402108</v>
      </c>
      <c r="J20" s="20"/>
      <c r="K20" s="33">
        <v>15.0</v>
      </c>
      <c r="L20" s="17" t="s">
        <v>292</v>
      </c>
      <c r="M20" s="17">
        <v>-7.56279839999999</v>
      </c>
      <c r="N20" s="17">
        <v>110.774827</v>
      </c>
      <c r="O20" s="20"/>
      <c r="P20" s="33">
        <v>15.0</v>
      </c>
      <c r="Q20" s="17" t="s">
        <v>314</v>
      </c>
      <c r="R20" s="17">
        <v>-7.5449034</v>
      </c>
      <c r="S20" s="17">
        <v>110.7746072</v>
      </c>
      <c r="T20" s="20"/>
      <c r="U20" s="33">
        <v>15.0</v>
      </c>
      <c r="V20" s="17" t="s">
        <v>346</v>
      </c>
      <c r="W20" s="17">
        <v>-7.533719</v>
      </c>
      <c r="X20" s="17">
        <v>110.7180361</v>
      </c>
      <c r="Y20" s="20"/>
      <c r="Z20" s="33">
        <v>15.0</v>
      </c>
      <c r="AA20" s="15" t="s">
        <v>219</v>
      </c>
      <c r="AB20" s="24">
        <v>-7.56050599999999</v>
      </c>
      <c r="AC20" s="24">
        <v>110.828336</v>
      </c>
      <c r="AD20" s="20"/>
      <c r="AE20" s="33">
        <v>15.0</v>
      </c>
      <c r="AF20" s="17" t="s">
        <v>411</v>
      </c>
      <c r="AG20" s="17">
        <v>-7.56089</v>
      </c>
      <c r="AH20" s="17">
        <v>110.82831</v>
      </c>
      <c r="AI20" s="20"/>
      <c r="AJ20" s="33">
        <v>15.0</v>
      </c>
      <c r="AK20" s="17" t="s">
        <v>426</v>
      </c>
      <c r="AL20" s="17">
        <v>-7.55783859999999</v>
      </c>
      <c r="AM20" s="17">
        <v>110.8249888</v>
      </c>
      <c r="AN20" s="20"/>
      <c r="AO20" s="33">
        <v>15.0</v>
      </c>
      <c r="AP20" s="17" t="s">
        <v>442</v>
      </c>
      <c r="AQ20" s="17">
        <v>-7.58168</v>
      </c>
      <c r="AR20" s="17">
        <v>110.81775</v>
      </c>
      <c r="AS20" s="20"/>
      <c r="AT20" s="33">
        <v>15.0</v>
      </c>
      <c r="AU20" s="17" t="s">
        <v>471</v>
      </c>
      <c r="AV20" s="17">
        <v>-7.56534999999999</v>
      </c>
      <c r="AW20" s="17">
        <v>110.84096</v>
      </c>
    </row>
    <row r="21">
      <c r="A21" s="33">
        <v>16.0</v>
      </c>
      <c r="B21" s="17" t="s">
        <v>165</v>
      </c>
      <c r="C21" s="17">
        <v>-7.55971</v>
      </c>
      <c r="D21" s="17">
        <v>110.83843</v>
      </c>
      <c r="E21" s="20"/>
      <c r="F21" s="33">
        <v>16.0</v>
      </c>
      <c r="G21" s="17" t="s">
        <v>504</v>
      </c>
      <c r="H21" s="17">
        <v>-7.55971</v>
      </c>
      <c r="I21" s="17">
        <v>110.83843</v>
      </c>
      <c r="J21" s="20"/>
      <c r="K21" s="33">
        <v>16.0</v>
      </c>
      <c r="L21" s="17" t="s">
        <v>293</v>
      </c>
      <c r="M21" s="20">
        <v>-7.5676663</v>
      </c>
      <c r="N21" s="20">
        <v>110.7838034</v>
      </c>
      <c r="O21" s="20"/>
      <c r="P21" s="33">
        <v>16.0</v>
      </c>
      <c r="Q21" s="17" t="s">
        <v>315</v>
      </c>
      <c r="R21" s="17">
        <v>-7.54709</v>
      </c>
      <c r="S21" s="17">
        <v>110.7795</v>
      </c>
      <c r="T21" s="20"/>
      <c r="U21" s="33">
        <v>16.0</v>
      </c>
      <c r="V21" s="17" t="s">
        <v>347</v>
      </c>
      <c r="W21" s="17">
        <v>-7.53498999999999</v>
      </c>
      <c r="X21" s="17">
        <v>110.7941977</v>
      </c>
      <c r="Y21" s="20"/>
      <c r="Z21" s="33">
        <v>16.0</v>
      </c>
      <c r="AA21" s="15" t="s">
        <v>385</v>
      </c>
      <c r="AB21" s="24">
        <v>-7.56089</v>
      </c>
      <c r="AC21" s="24">
        <v>110.82831</v>
      </c>
      <c r="AD21" s="20"/>
      <c r="AE21" s="33">
        <v>16.0</v>
      </c>
      <c r="AF21" s="17" t="s">
        <v>412</v>
      </c>
      <c r="AG21" s="17">
        <v>-7.56246</v>
      </c>
      <c r="AH21" s="17">
        <v>110.82638</v>
      </c>
      <c r="AI21" s="20"/>
      <c r="AJ21" s="33">
        <v>16.0</v>
      </c>
      <c r="AK21" s="17" t="s">
        <v>427</v>
      </c>
      <c r="AL21" s="17">
        <v>-7.55927</v>
      </c>
      <c r="AM21" s="17">
        <v>110.82464</v>
      </c>
      <c r="AN21" s="20"/>
      <c r="AO21" s="33">
        <v>16.0</v>
      </c>
      <c r="AP21" s="17" t="s">
        <v>199</v>
      </c>
      <c r="AQ21" s="17">
        <v>-7.58111</v>
      </c>
      <c r="AR21" s="17">
        <v>110.81723</v>
      </c>
      <c r="AS21" s="20"/>
      <c r="AT21" s="33">
        <v>16.0</v>
      </c>
      <c r="AU21" s="17" t="s">
        <v>472</v>
      </c>
      <c r="AV21" s="17">
        <v>-7.56549939999999</v>
      </c>
      <c r="AW21" s="17">
        <v>110.8432094</v>
      </c>
    </row>
    <row r="22">
      <c r="A22" s="33">
        <v>17.0</v>
      </c>
      <c r="B22" s="17" t="s">
        <v>166</v>
      </c>
      <c r="C22" s="17">
        <v>-7.55770229999999</v>
      </c>
      <c r="D22" s="17">
        <v>110.8476391</v>
      </c>
      <c r="E22" s="20"/>
      <c r="F22" s="33">
        <v>17.0</v>
      </c>
      <c r="G22" s="17" t="s">
        <v>188</v>
      </c>
      <c r="H22" s="17">
        <v>-7.55857</v>
      </c>
      <c r="I22" s="17">
        <v>110.83563</v>
      </c>
      <c r="J22" s="20"/>
      <c r="K22" s="33">
        <v>17.0</v>
      </c>
      <c r="L22" s="17" t="s">
        <v>196</v>
      </c>
      <c r="M22" s="20">
        <v>-7.5683537</v>
      </c>
      <c r="N22" s="20">
        <v>110.7880699</v>
      </c>
      <c r="O22" s="20"/>
      <c r="P22" s="33">
        <v>17.0</v>
      </c>
      <c r="Q22" s="17" t="s">
        <v>316</v>
      </c>
      <c r="R22" s="17">
        <v>-7.54844</v>
      </c>
      <c r="S22" s="17">
        <v>110.78341</v>
      </c>
      <c r="T22" s="20"/>
      <c r="U22" s="33">
        <v>17.0</v>
      </c>
      <c r="V22" s="17" t="s">
        <v>348</v>
      </c>
      <c r="W22" s="17">
        <v>-7.53735</v>
      </c>
      <c r="X22" s="17">
        <v>110.80302</v>
      </c>
      <c r="Y22" s="20"/>
      <c r="Z22" s="33">
        <v>17.0</v>
      </c>
      <c r="AA22" s="15" t="s">
        <v>386</v>
      </c>
      <c r="AB22" s="24">
        <v>-7.56149259999999</v>
      </c>
      <c r="AC22" s="24">
        <v>110.8269797</v>
      </c>
      <c r="AD22" s="20"/>
      <c r="AE22" s="33">
        <v>17.0</v>
      </c>
      <c r="AF22" s="17" t="s">
        <v>387</v>
      </c>
      <c r="AG22" s="17">
        <v>-7.56399999999999</v>
      </c>
      <c r="AH22" s="17">
        <v>110.82569</v>
      </c>
      <c r="AI22" s="20"/>
      <c r="AJ22" s="33">
        <v>17.0</v>
      </c>
      <c r="AK22" s="17" t="s">
        <v>428</v>
      </c>
      <c r="AL22" s="17">
        <v>-7.5626552</v>
      </c>
      <c r="AM22" s="17">
        <v>110.8247223</v>
      </c>
      <c r="AN22" s="20"/>
      <c r="AO22" s="33">
        <v>17.0</v>
      </c>
      <c r="AP22" s="23" t="s">
        <v>198</v>
      </c>
      <c r="AQ22" s="24">
        <v>-7.58068</v>
      </c>
      <c r="AR22" s="24">
        <v>110.81539</v>
      </c>
      <c r="AS22" s="20"/>
      <c r="AT22" s="33">
        <v>17.0</v>
      </c>
      <c r="AU22" s="17" t="s">
        <v>473</v>
      </c>
      <c r="AV22" s="17">
        <v>-7.56575689999999</v>
      </c>
      <c r="AW22" s="17">
        <v>110.844802</v>
      </c>
    </row>
    <row r="23">
      <c r="A23" s="33">
        <v>18.0</v>
      </c>
      <c r="B23" s="17" t="s">
        <v>167</v>
      </c>
      <c r="C23" s="17">
        <v>-7.56303</v>
      </c>
      <c r="D23" s="17">
        <v>110.83534</v>
      </c>
      <c r="E23" s="20"/>
      <c r="F23" s="33">
        <v>18.0</v>
      </c>
      <c r="G23" s="17" t="s">
        <v>189</v>
      </c>
      <c r="H23" s="17">
        <v>-7.55907</v>
      </c>
      <c r="I23" s="17">
        <v>110.83246</v>
      </c>
      <c r="J23" s="20"/>
      <c r="K23" s="33">
        <v>18.0</v>
      </c>
      <c r="L23" s="17" t="s">
        <v>197</v>
      </c>
      <c r="M23" s="20">
        <v>-7.5686656</v>
      </c>
      <c r="N23" s="20">
        <v>110.7899912</v>
      </c>
      <c r="O23" s="20"/>
      <c r="P23" s="33">
        <v>18.0</v>
      </c>
      <c r="Q23" s="17" t="s">
        <v>317</v>
      </c>
      <c r="R23" s="17">
        <v>-7.54933</v>
      </c>
      <c r="S23" s="17">
        <v>110.78602</v>
      </c>
      <c r="T23" s="20"/>
      <c r="U23" s="33">
        <v>18.0</v>
      </c>
      <c r="V23" s="17" t="s">
        <v>349</v>
      </c>
      <c r="W23" s="17">
        <v>-7.54045999999999</v>
      </c>
      <c r="X23" s="17">
        <v>110.80699</v>
      </c>
      <c r="Y23" s="20"/>
      <c r="Z23" s="33">
        <v>18.0</v>
      </c>
      <c r="AA23" s="15" t="s">
        <v>387</v>
      </c>
      <c r="AB23" s="24">
        <v>-7.56399999999999</v>
      </c>
      <c r="AC23" s="24">
        <v>110.82569</v>
      </c>
      <c r="AD23" s="20"/>
      <c r="AE23" s="33">
        <v>18.0</v>
      </c>
      <c r="AF23" s="17" t="s">
        <v>388</v>
      </c>
      <c r="AG23" s="17">
        <v>-7.56363999999999</v>
      </c>
      <c r="AH23" s="17">
        <v>110.82383</v>
      </c>
      <c r="AI23" s="20"/>
      <c r="AJ23" s="33">
        <v>18.0</v>
      </c>
      <c r="AK23" s="17" t="s">
        <v>96</v>
      </c>
      <c r="AL23" s="17">
        <v>-7.56203319999999</v>
      </c>
      <c r="AM23" s="17">
        <v>110.8260413</v>
      </c>
      <c r="AN23" s="20"/>
      <c r="AO23" s="33">
        <v>18.0</v>
      </c>
      <c r="AP23" s="23" t="s">
        <v>443</v>
      </c>
      <c r="AQ23" s="24">
        <v>-7.5794</v>
      </c>
      <c r="AR23" s="24">
        <v>110.81467</v>
      </c>
      <c r="AS23" s="20"/>
      <c r="AT23" s="33">
        <v>18.0</v>
      </c>
      <c r="AU23" s="17" t="s">
        <v>474</v>
      </c>
      <c r="AV23" s="17">
        <v>-7.56528019999999</v>
      </c>
      <c r="AW23" s="17">
        <v>110.8463767</v>
      </c>
    </row>
    <row r="24">
      <c r="A24" s="33">
        <v>19.0</v>
      </c>
      <c r="B24" s="17" t="s">
        <v>168</v>
      </c>
      <c r="C24" s="17">
        <v>-7.5645116</v>
      </c>
      <c r="D24" s="17">
        <v>110.834624</v>
      </c>
      <c r="E24" s="20"/>
      <c r="F24" s="33">
        <v>19.0</v>
      </c>
      <c r="G24" s="17" t="s">
        <v>190</v>
      </c>
      <c r="H24" s="17">
        <v>-7.5588525</v>
      </c>
      <c r="I24" s="17">
        <v>110.8302689</v>
      </c>
      <c r="J24" s="20"/>
      <c r="K24" s="33">
        <v>19.0</v>
      </c>
      <c r="L24" s="17" t="s">
        <v>194</v>
      </c>
      <c r="M24" s="20">
        <v>-7.5694125</v>
      </c>
      <c r="N24" s="20">
        <v>110.796951</v>
      </c>
      <c r="O24" s="20"/>
      <c r="P24" s="33">
        <v>19.0</v>
      </c>
      <c r="Q24" s="17" t="s">
        <v>318</v>
      </c>
      <c r="R24" s="17">
        <v>-7.55074</v>
      </c>
      <c r="S24" s="17">
        <v>110.7903</v>
      </c>
      <c r="T24" s="20"/>
      <c r="U24" s="33">
        <v>19.0</v>
      </c>
      <c r="V24" s="17" t="s">
        <v>350</v>
      </c>
      <c r="W24" s="17">
        <v>-7.5446869</v>
      </c>
      <c r="X24" s="17">
        <v>110.806696</v>
      </c>
      <c r="Y24" s="20"/>
      <c r="Z24" s="33">
        <v>19.0</v>
      </c>
      <c r="AA24" s="15" t="s">
        <v>388</v>
      </c>
      <c r="AB24" s="24">
        <v>-7.56363999999999</v>
      </c>
      <c r="AC24" s="24">
        <v>110.82383</v>
      </c>
      <c r="AD24" s="20"/>
      <c r="AE24" s="20"/>
      <c r="AF24" s="20"/>
      <c r="AG24" s="20"/>
      <c r="AH24" s="20"/>
      <c r="AI24" s="20"/>
      <c r="AJ24" s="33">
        <v>19.0</v>
      </c>
      <c r="AK24" s="17" t="s">
        <v>429</v>
      </c>
      <c r="AL24" s="17">
        <v>-7.56284</v>
      </c>
      <c r="AM24" s="17">
        <v>110.82859</v>
      </c>
      <c r="AN24" s="20"/>
      <c r="AO24" s="33">
        <v>19.0</v>
      </c>
      <c r="AP24" s="23" t="s">
        <v>444</v>
      </c>
      <c r="AQ24" s="24">
        <v>-7.5778893</v>
      </c>
      <c r="AR24" s="24">
        <v>110.8152941</v>
      </c>
      <c r="AS24" s="20"/>
      <c r="AT24" s="33">
        <v>19.0</v>
      </c>
      <c r="AU24" s="23" t="s">
        <v>475</v>
      </c>
      <c r="AV24" s="17">
        <v>-7.56739</v>
      </c>
      <c r="AW24" s="17">
        <v>110.84744</v>
      </c>
    </row>
    <row r="25">
      <c r="A25" s="33">
        <v>20.0</v>
      </c>
      <c r="B25" s="17" t="s">
        <v>169</v>
      </c>
      <c r="C25" s="17">
        <v>-7.56717999999999</v>
      </c>
      <c r="D25" s="17">
        <v>110.83263</v>
      </c>
      <c r="E25" s="20"/>
      <c r="F25" s="33">
        <v>20.0</v>
      </c>
      <c r="G25" s="17" t="s">
        <v>263</v>
      </c>
      <c r="H25" s="17">
        <v>-7.5588255</v>
      </c>
      <c r="I25" s="17">
        <v>110.8296634</v>
      </c>
      <c r="J25" s="20"/>
      <c r="K25" s="33">
        <v>20.0</v>
      </c>
      <c r="L25" s="17" t="s">
        <v>294</v>
      </c>
      <c r="M25" s="20">
        <v>-7.5707084</v>
      </c>
      <c r="N25" s="20">
        <v>110.8001691</v>
      </c>
      <c r="O25" s="20"/>
      <c r="P25" s="33">
        <v>20.0</v>
      </c>
      <c r="Q25" s="17" t="s">
        <v>319</v>
      </c>
      <c r="R25" s="17">
        <v>-7.5517</v>
      </c>
      <c r="S25" s="17">
        <v>110.79324</v>
      </c>
      <c r="T25" s="20"/>
      <c r="U25" s="33">
        <v>20.0</v>
      </c>
      <c r="V25" s="17" t="s">
        <v>351</v>
      </c>
      <c r="W25" s="17">
        <v>-7.55017999999999</v>
      </c>
      <c r="X25" s="17">
        <v>110.80301</v>
      </c>
      <c r="Y25" s="20"/>
      <c r="Z25" s="33">
        <v>20.0</v>
      </c>
      <c r="AA25" s="15" t="s">
        <v>389</v>
      </c>
      <c r="AB25" s="29">
        <v>-7.5646311</v>
      </c>
      <c r="AC25" s="29">
        <v>110.8219116</v>
      </c>
      <c r="AD25" s="20"/>
      <c r="AE25" s="20"/>
      <c r="AF25" s="20"/>
      <c r="AG25" s="20"/>
      <c r="AH25" s="20"/>
      <c r="AI25" s="20"/>
      <c r="AJ25" s="33">
        <v>20.0</v>
      </c>
      <c r="AK25" s="17" t="s">
        <v>430</v>
      </c>
      <c r="AL25" s="17">
        <v>-7.5647671</v>
      </c>
      <c r="AM25" s="17">
        <v>110.8283736</v>
      </c>
      <c r="AN25" s="20"/>
      <c r="AO25" s="33">
        <v>20.0</v>
      </c>
      <c r="AP25" s="23" t="s">
        <v>445</v>
      </c>
      <c r="AQ25" s="24">
        <v>-7.58921</v>
      </c>
      <c r="AR25" s="24">
        <v>110.82371</v>
      </c>
      <c r="AS25" s="20"/>
      <c r="AT25" s="33">
        <v>20.0</v>
      </c>
      <c r="AU25" s="23" t="s">
        <v>476</v>
      </c>
      <c r="AV25" s="17">
        <v>-7.5697</v>
      </c>
      <c r="AW25" s="17">
        <v>110.84668</v>
      </c>
    </row>
    <row r="26">
      <c r="A26" s="33">
        <v>21.0</v>
      </c>
      <c r="B26" s="17" t="s">
        <v>170</v>
      </c>
      <c r="C26" s="17">
        <v>-7.569377</v>
      </c>
      <c r="D26" s="17">
        <v>110.8315563</v>
      </c>
      <c r="E26" s="20"/>
      <c r="F26" s="33">
        <v>21.0</v>
      </c>
      <c r="G26" s="17" t="s">
        <v>264</v>
      </c>
      <c r="H26" s="17">
        <v>-7.55833</v>
      </c>
      <c r="I26" s="17">
        <v>110.82699</v>
      </c>
      <c r="J26" s="20"/>
      <c r="K26" s="33">
        <v>21.0</v>
      </c>
      <c r="L26" s="17" t="s">
        <v>295</v>
      </c>
      <c r="M26" s="20">
        <v>-7.5712661</v>
      </c>
      <c r="N26" s="20">
        <v>110.8035283</v>
      </c>
      <c r="O26" s="20"/>
      <c r="P26" s="33">
        <v>21.0</v>
      </c>
      <c r="Q26" s="17" t="s">
        <v>320</v>
      </c>
      <c r="R26" s="17">
        <v>-7.55339759999999</v>
      </c>
      <c r="S26" s="17">
        <v>110.7957826</v>
      </c>
      <c r="T26" s="20"/>
      <c r="U26" s="33">
        <v>21.0</v>
      </c>
      <c r="V26" s="17" t="s">
        <v>352</v>
      </c>
      <c r="W26" s="17">
        <v>-7.5533</v>
      </c>
      <c r="X26" s="17">
        <v>110.80032</v>
      </c>
      <c r="Y26" s="20"/>
      <c r="Z26" s="33">
        <v>21.0</v>
      </c>
      <c r="AA26" s="15" t="s">
        <v>390</v>
      </c>
      <c r="AB26" s="24">
        <v>-7.5631</v>
      </c>
      <c r="AC26" s="24">
        <v>110.8206885</v>
      </c>
      <c r="AD26" s="20"/>
      <c r="AE26" s="20"/>
      <c r="AF26" s="20"/>
      <c r="AG26" s="20"/>
      <c r="AH26" s="20"/>
      <c r="AI26" s="20"/>
      <c r="AJ26" s="33">
        <v>21.0</v>
      </c>
      <c r="AK26" s="17" t="s">
        <v>431</v>
      </c>
      <c r="AL26" s="17">
        <v>-7.56568</v>
      </c>
      <c r="AM26" s="17">
        <v>110.83097</v>
      </c>
      <c r="AN26" s="20"/>
      <c r="AO26" s="33">
        <v>21.0</v>
      </c>
      <c r="AP26" s="23" t="s">
        <v>446</v>
      </c>
      <c r="AQ26" s="24">
        <v>-7.57262729999999</v>
      </c>
      <c r="AR26" s="24">
        <v>110.8155196</v>
      </c>
      <c r="AS26" s="20"/>
      <c r="AT26" s="33">
        <v>21.0</v>
      </c>
      <c r="AU26" s="23" t="s">
        <v>477</v>
      </c>
      <c r="AV26" s="17">
        <v>-7.57028</v>
      </c>
      <c r="AW26" s="17">
        <v>110.8476</v>
      </c>
    </row>
    <row r="27">
      <c r="A27" s="33">
        <v>22.0</v>
      </c>
      <c r="B27" s="17" t="s">
        <v>171</v>
      </c>
      <c r="C27" s="17">
        <v>-7.5694476</v>
      </c>
      <c r="D27" s="17">
        <v>110.829594</v>
      </c>
      <c r="E27" s="20"/>
      <c r="F27" s="33">
        <v>22.0</v>
      </c>
      <c r="G27" s="17" t="s">
        <v>265</v>
      </c>
      <c r="H27" s="17">
        <v>-7.55744219999999</v>
      </c>
      <c r="I27" s="17">
        <v>110.8234039</v>
      </c>
      <c r="J27" s="20"/>
      <c r="K27" s="33">
        <v>22.0</v>
      </c>
      <c r="L27" s="17" t="s">
        <v>296</v>
      </c>
      <c r="M27" s="20">
        <v>-7.5713106</v>
      </c>
      <c r="N27" s="20">
        <v>110.8050432</v>
      </c>
      <c r="O27" s="20"/>
      <c r="P27" s="33">
        <v>22.0</v>
      </c>
      <c r="Q27" s="17" t="s">
        <v>321</v>
      </c>
      <c r="R27" s="17">
        <v>-7.55325569999999</v>
      </c>
      <c r="S27" s="17">
        <v>110.7983771</v>
      </c>
      <c r="T27" s="20"/>
      <c r="U27" s="33">
        <v>22.0</v>
      </c>
      <c r="V27" s="17" t="s">
        <v>209</v>
      </c>
      <c r="W27" s="17">
        <v>-7.55548</v>
      </c>
      <c r="X27" s="20">
        <v>110.4714619</v>
      </c>
      <c r="Y27" s="20"/>
      <c r="Z27" s="33">
        <v>22.0</v>
      </c>
      <c r="AA27" s="15" t="s">
        <v>391</v>
      </c>
      <c r="AB27" s="24">
        <v>-7.5625</v>
      </c>
      <c r="AC27" s="24">
        <v>110.81992</v>
      </c>
      <c r="AD27" s="20"/>
      <c r="AE27" s="20"/>
      <c r="AF27" s="20"/>
      <c r="AG27" s="20"/>
      <c r="AH27" s="20"/>
      <c r="AI27" s="20"/>
      <c r="AJ27" s="33">
        <v>22.0</v>
      </c>
      <c r="AK27" s="17" t="s">
        <v>432</v>
      </c>
      <c r="AL27" s="17">
        <v>-7.56591</v>
      </c>
      <c r="AM27" s="17">
        <v>110.83212</v>
      </c>
      <c r="AN27" s="20"/>
      <c r="AO27" s="33">
        <v>22.0</v>
      </c>
      <c r="AP27" s="23" t="s">
        <v>447</v>
      </c>
      <c r="AQ27" s="24">
        <v>-7.57101869999999</v>
      </c>
      <c r="AR27" s="24">
        <v>110.8149706</v>
      </c>
      <c r="AS27" s="20"/>
      <c r="AT27" s="33">
        <v>22.0</v>
      </c>
      <c r="AU27" s="13" t="s">
        <v>478</v>
      </c>
      <c r="AV27" s="17">
        <v>-7.56978999999999</v>
      </c>
      <c r="AW27" s="17">
        <v>110.84972</v>
      </c>
    </row>
    <row r="28">
      <c r="A28" s="33">
        <v>23.0</v>
      </c>
      <c r="B28" s="17" t="s">
        <v>172</v>
      </c>
      <c r="C28" s="17">
        <v>-7.57218389999999</v>
      </c>
      <c r="D28" s="17">
        <v>110.8313275</v>
      </c>
      <c r="E28" s="20"/>
      <c r="F28" s="33">
        <v>23.0</v>
      </c>
      <c r="G28" s="17" t="s">
        <v>266</v>
      </c>
      <c r="H28" s="17">
        <v>-7.5570131</v>
      </c>
      <c r="I28" s="17">
        <v>110.8213794</v>
      </c>
      <c r="J28" s="20"/>
      <c r="K28" s="33">
        <v>23.0</v>
      </c>
      <c r="L28" s="17" t="s">
        <v>297</v>
      </c>
      <c r="M28" s="20">
        <v>-7.6385145</v>
      </c>
      <c r="N28" s="20">
        <v>111.3590118</v>
      </c>
      <c r="O28" s="20"/>
      <c r="P28" s="33">
        <v>23.0</v>
      </c>
      <c r="Q28" s="17" t="s">
        <v>322</v>
      </c>
      <c r="R28" s="17">
        <v>-7.55548</v>
      </c>
      <c r="S28" s="20">
        <v>110.4714619</v>
      </c>
      <c r="T28" s="20"/>
      <c r="U28" s="33">
        <v>23.0</v>
      </c>
      <c r="V28" s="17" t="s">
        <v>210</v>
      </c>
      <c r="W28" s="20">
        <v>-7.55559</v>
      </c>
      <c r="X28" s="20">
        <v>110.8064838</v>
      </c>
      <c r="Y28" s="20"/>
      <c r="Z28" s="33">
        <v>23.0</v>
      </c>
      <c r="AA28" s="15" t="s">
        <v>392</v>
      </c>
      <c r="AB28" s="24">
        <v>-7.56506269999999</v>
      </c>
      <c r="AC28" s="25">
        <v>110.8180808</v>
      </c>
      <c r="AD28" s="20"/>
      <c r="AE28" s="20"/>
      <c r="AF28" s="20"/>
      <c r="AG28" s="20"/>
      <c r="AH28" s="20"/>
      <c r="AI28" s="20"/>
      <c r="AJ28" s="33">
        <v>23.0</v>
      </c>
      <c r="AK28" s="17" t="s">
        <v>169</v>
      </c>
      <c r="AL28" s="17">
        <v>-7.56717999999999</v>
      </c>
      <c r="AM28" s="17">
        <v>110.83263</v>
      </c>
      <c r="AN28" s="20"/>
      <c r="AO28" s="33">
        <v>23.0</v>
      </c>
      <c r="AP28" s="23" t="s">
        <v>448</v>
      </c>
      <c r="AQ28" s="24">
        <v>-7.5698</v>
      </c>
      <c r="AR28" s="24">
        <v>110.81189</v>
      </c>
      <c r="AS28" s="20"/>
      <c r="AT28" s="33">
        <v>23.0</v>
      </c>
      <c r="AU28" s="13" t="s">
        <v>479</v>
      </c>
      <c r="AV28" s="17">
        <v>-7.56912</v>
      </c>
      <c r="AW28" s="17">
        <v>110.85257</v>
      </c>
    </row>
    <row r="29">
      <c r="A29" s="33">
        <v>24.0</v>
      </c>
      <c r="B29" s="17" t="s">
        <v>173</v>
      </c>
      <c r="C29" s="20">
        <v>-7.5720324</v>
      </c>
      <c r="D29" s="20">
        <v>110.8280273</v>
      </c>
      <c r="E29" s="20"/>
      <c r="F29" s="33">
        <v>24.0</v>
      </c>
      <c r="G29" s="17" t="s">
        <v>267</v>
      </c>
      <c r="H29" s="17">
        <v>-7.5593789</v>
      </c>
      <c r="I29" s="17">
        <v>110.8180391</v>
      </c>
      <c r="J29" s="20"/>
      <c r="K29" s="33">
        <v>24.0</v>
      </c>
      <c r="L29" s="17" t="s">
        <v>298</v>
      </c>
      <c r="M29" s="20">
        <v>-7.5699639</v>
      </c>
      <c r="N29" s="20">
        <v>110.7968624</v>
      </c>
      <c r="O29" s="20"/>
      <c r="P29" s="33">
        <v>24.0</v>
      </c>
      <c r="Q29" s="17" t="s">
        <v>210</v>
      </c>
      <c r="R29" s="17">
        <v>-7.5555789</v>
      </c>
      <c r="S29" s="17">
        <v>110.8065334</v>
      </c>
      <c r="T29" s="20"/>
      <c r="U29" s="33">
        <v>24.0</v>
      </c>
      <c r="V29" s="17" t="s">
        <v>191</v>
      </c>
      <c r="W29" s="17">
        <v>-7.5621785</v>
      </c>
      <c r="X29" s="17">
        <v>110.8074437</v>
      </c>
      <c r="Y29" s="20"/>
      <c r="Z29" s="33">
        <v>24.0</v>
      </c>
      <c r="AA29" s="15" t="s">
        <v>393</v>
      </c>
      <c r="AB29" s="25">
        <v>-7.56637449999999</v>
      </c>
      <c r="AC29" s="25">
        <v>110.8187841</v>
      </c>
      <c r="AD29" s="20"/>
      <c r="AE29" s="20"/>
      <c r="AF29" s="20"/>
      <c r="AG29" s="20"/>
      <c r="AH29" s="20"/>
      <c r="AI29" s="20"/>
      <c r="AJ29" s="33">
        <v>24.0</v>
      </c>
      <c r="AK29" s="17" t="s">
        <v>170</v>
      </c>
      <c r="AL29" s="17">
        <v>-7.569377</v>
      </c>
      <c r="AM29" s="17">
        <v>110.8315563</v>
      </c>
      <c r="AN29" s="20"/>
      <c r="AO29" s="33">
        <v>24.0</v>
      </c>
      <c r="AP29" s="23" t="s">
        <v>449</v>
      </c>
      <c r="AQ29" s="24">
        <v>-7.56934</v>
      </c>
      <c r="AR29" s="24">
        <v>110.8083</v>
      </c>
      <c r="AS29" s="20"/>
      <c r="AT29" s="33">
        <v>24.0</v>
      </c>
      <c r="AU29" s="13" t="s">
        <v>480</v>
      </c>
      <c r="AV29" s="17">
        <v>-7.5683186</v>
      </c>
      <c r="AW29" s="17">
        <v>110.8545831</v>
      </c>
    </row>
    <row r="30">
      <c r="A30" s="33">
        <v>25.0</v>
      </c>
      <c r="B30" s="17" t="s">
        <v>174</v>
      </c>
      <c r="C30" s="17">
        <v>-7.57101</v>
      </c>
      <c r="D30" s="17">
        <v>110.82487</v>
      </c>
      <c r="E30" s="20"/>
      <c r="F30" s="33">
        <v>25.0</v>
      </c>
      <c r="G30" s="17" t="s">
        <v>268</v>
      </c>
      <c r="H30" s="17">
        <v>-7.56115089999999</v>
      </c>
      <c r="I30" s="17">
        <v>110.8196281</v>
      </c>
      <c r="J30" s="20"/>
      <c r="K30" s="33">
        <v>25.0</v>
      </c>
      <c r="L30" s="17" t="s">
        <v>299</v>
      </c>
      <c r="M30" s="17">
        <v>-7.573509</v>
      </c>
      <c r="N30" s="17">
        <v>110.8095022</v>
      </c>
      <c r="O30" s="20"/>
      <c r="P30" s="33">
        <v>25.0</v>
      </c>
      <c r="Q30" s="17" t="s">
        <v>323</v>
      </c>
      <c r="R30" s="17">
        <v>-7.7832971</v>
      </c>
      <c r="S30" s="17">
        <v>110.3935667</v>
      </c>
      <c r="T30" s="20"/>
      <c r="U30" s="33">
        <v>25.0</v>
      </c>
      <c r="V30" s="17" t="s">
        <v>192</v>
      </c>
      <c r="W30" s="17">
        <v>-7.56372999999999</v>
      </c>
      <c r="X30" s="17">
        <v>110.80648</v>
      </c>
      <c r="Y30" s="20"/>
      <c r="Z30" s="33">
        <v>25.0</v>
      </c>
      <c r="AA30" s="15" t="s">
        <v>394</v>
      </c>
      <c r="AB30" s="25">
        <v>-7.5690328</v>
      </c>
      <c r="AC30" s="25">
        <v>110.8170926</v>
      </c>
      <c r="AD30" s="20"/>
      <c r="AE30" s="20"/>
      <c r="AF30" s="20"/>
      <c r="AG30" s="20"/>
      <c r="AH30" s="20"/>
      <c r="AI30" s="20"/>
      <c r="AJ30" s="33">
        <v>25.0</v>
      </c>
      <c r="AK30" s="17" t="s">
        <v>171</v>
      </c>
      <c r="AL30" s="17">
        <v>-7.5694476</v>
      </c>
      <c r="AM30" s="17">
        <v>110.829594</v>
      </c>
      <c r="AN30" s="20"/>
      <c r="AO30" s="33">
        <v>25.0</v>
      </c>
      <c r="AP30" s="23" t="s">
        <v>450</v>
      </c>
      <c r="AQ30" s="24">
        <v>-7.56853</v>
      </c>
      <c r="AR30" s="24">
        <v>110.80295</v>
      </c>
      <c r="AS30" s="20"/>
      <c r="AT30" s="60">
        <v>25.0</v>
      </c>
      <c r="AU30" s="13" t="s">
        <v>481</v>
      </c>
      <c r="AV30" s="17">
        <v>-7.56823</v>
      </c>
      <c r="AW30" s="17">
        <v>110.85824</v>
      </c>
    </row>
    <row r="31">
      <c r="A31" s="33">
        <v>26.0</v>
      </c>
      <c r="B31" s="17" t="s">
        <v>175</v>
      </c>
      <c r="C31" s="17">
        <v>-7.6625011</v>
      </c>
      <c r="D31" s="17">
        <v>111.9618081</v>
      </c>
      <c r="E31" s="20"/>
      <c r="F31" s="33">
        <v>26.0</v>
      </c>
      <c r="G31" s="17" t="s">
        <v>269</v>
      </c>
      <c r="H31" s="17">
        <v>-7.5638586</v>
      </c>
      <c r="I31" s="17">
        <v>110.8192154</v>
      </c>
      <c r="J31" s="20"/>
      <c r="K31" s="33">
        <v>26.0</v>
      </c>
      <c r="L31" s="17" t="s">
        <v>300</v>
      </c>
      <c r="M31" s="17">
        <v>-7.57514349999999</v>
      </c>
      <c r="N31" s="17">
        <v>110.8097735</v>
      </c>
      <c r="O31" s="20"/>
      <c r="P31" s="33">
        <v>26.0</v>
      </c>
      <c r="Q31" s="17" t="s">
        <v>324</v>
      </c>
      <c r="R31" s="17">
        <v>-7.5562077</v>
      </c>
      <c r="S31" s="17">
        <v>110.8046283</v>
      </c>
      <c r="T31" s="20"/>
      <c r="U31" s="33">
        <v>26.0</v>
      </c>
      <c r="V31" s="17" t="s">
        <v>180</v>
      </c>
      <c r="W31" s="17">
        <v>-7.5653557</v>
      </c>
      <c r="X31" s="17">
        <v>110.8059815</v>
      </c>
      <c r="Y31" s="20"/>
      <c r="Z31" s="33">
        <v>26.0</v>
      </c>
      <c r="AA31" s="15" t="s">
        <v>395</v>
      </c>
      <c r="AB31" s="25">
        <v>-7.5724513</v>
      </c>
      <c r="AC31" s="25">
        <v>110.8163161</v>
      </c>
      <c r="AD31" s="20"/>
      <c r="AE31" s="20"/>
      <c r="AF31" s="20"/>
      <c r="AG31" s="20"/>
      <c r="AH31" s="20"/>
      <c r="AI31" s="20"/>
      <c r="AJ31" s="33">
        <v>26.0</v>
      </c>
      <c r="AK31" s="17" t="s">
        <v>172</v>
      </c>
      <c r="AL31" s="17">
        <v>-7.57218389999999</v>
      </c>
      <c r="AM31" s="17">
        <v>110.8313275</v>
      </c>
      <c r="AN31" s="20"/>
      <c r="AO31" s="33">
        <v>26.0</v>
      </c>
      <c r="AP31" s="23" t="s">
        <v>451</v>
      </c>
      <c r="AQ31" s="24">
        <v>-7.56765</v>
      </c>
      <c r="AR31" s="24">
        <v>110.80092</v>
      </c>
      <c r="AS31" s="20"/>
      <c r="AT31" s="33">
        <v>26.0</v>
      </c>
      <c r="AU31" s="13" t="s">
        <v>482</v>
      </c>
      <c r="AV31" s="17">
        <v>-7.56701</v>
      </c>
      <c r="AW31" s="17">
        <v>110.86017</v>
      </c>
    </row>
    <row r="32">
      <c r="A32" s="33">
        <v>27.0</v>
      </c>
      <c r="B32" s="17" t="s">
        <v>176</v>
      </c>
      <c r="C32" s="17">
        <v>-7.569951</v>
      </c>
      <c r="D32" s="17">
        <v>110.8200437</v>
      </c>
      <c r="E32" s="20"/>
      <c r="F32" s="33">
        <v>27.0</v>
      </c>
      <c r="G32" s="17" t="s">
        <v>270</v>
      </c>
      <c r="H32" s="17">
        <v>-7.56559949999999</v>
      </c>
      <c r="I32" s="17">
        <v>110.8165735</v>
      </c>
      <c r="J32" s="20"/>
      <c r="K32" s="33">
        <v>27.0</v>
      </c>
      <c r="L32" s="17" t="s">
        <v>301</v>
      </c>
      <c r="M32" s="20">
        <v>-7.5778589</v>
      </c>
      <c r="N32" s="20">
        <v>110.808262</v>
      </c>
      <c r="O32" s="20"/>
      <c r="P32" s="33">
        <v>27.0</v>
      </c>
      <c r="Q32" s="17" t="s">
        <v>325</v>
      </c>
      <c r="R32" s="17">
        <v>-7.5526844</v>
      </c>
      <c r="S32" s="17">
        <v>110.8142742</v>
      </c>
      <c r="T32" s="20"/>
      <c r="U32" s="33">
        <v>27.0</v>
      </c>
      <c r="V32" s="17" t="s">
        <v>179</v>
      </c>
      <c r="W32" s="17">
        <v>-7.56706</v>
      </c>
      <c r="X32" s="17">
        <v>110.8119</v>
      </c>
      <c r="Y32" s="20"/>
      <c r="Z32" s="33">
        <v>27.0</v>
      </c>
      <c r="AA32" s="15" t="s">
        <v>396</v>
      </c>
      <c r="AB32" s="29">
        <v>-7.57448999999999</v>
      </c>
      <c r="AC32" s="29">
        <v>110.82047</v>
      </c>
      <c r="AD32" s="20"/>
      <c r="AE32" s="20"/>
      <c r="AF32" s="20"/>
      <c r="AG32" s="20"/>
      <c r="AH32" s="20"/>
      <c r="AI32" s="20"/>
      <c r="AJ32" s="33">
        <v>27.0</v>
      </c>
      <c r="AK32" s="17" t="s">
        <v>225</v>
      </c>
      <c r="AL32" s="17">
        <v>-7.57376999999999</v>
      </c>
      <c r="AM32" s="17">
        <v>110.82936</v>
      </c>
      <c r="AN32" s="20"/>
      <c r="AO32" s="33">
        <v>27.0</v>
      </c>
      <c r="AP32" s="23" t="s">
        <v>452</v>
      </c>
      <c r="AQ32" s="24">
        <v>-7.5672</v>
      </c>
      <c r="AR32" s="24">
        <v>110.79906</v>
      </c>
      <c r="AS32" s="20"/>
      <c r="AT32" s="33">
        <v>27.0</v>
      </c>
      <c r="AU32" s="13" t="s">
        <v>512</v>
      </c>
      <c r="AV32" s="25">
        <v>-7.5653331</v>
      </c>
      <c r="AW32" s="25">
        <v>110.8649</v>
      </c>
    </row>
    <row r="33">
      <c r="A33" s="33">
        <v>28.0</v>
      </c>
      <c r="B33" s="17" t="s">
        <v>177</v>
      </c>
      <c r="C33" s="17">
        <v>-7.56637449999999</v>
      </c>
      <c r="D33" s="17">
        <v>110.8187841</v>
      </c>
      <c r="E33" s="20"/>
      <c r="F33" s="33">
        <v>28.0</v>
      </c>
      <c r="G33" s="17" t="s">
        <v>271</v>
      </c>
      <c r="H33" s="17">
        <v>-7.5634522</v>
      </c>
      <c r="I33" s="17">
        <v>110.8144971</v>
      </c>
      <c r="J33" s="20"/>
      <c r="K33" s="33">
        <v>28.0</v>
      </c>
      <c r="L33" s="17" t="s">
        <v>302</v>
      </c>
      <c r="M33" s="20">
        <v>-7.5715106</v>
      </c>
      <c r="N33" s="20">
        <v>110.8282691</v>
      </c>
      <c r="O33" s="20"/>
      <c r="P33" s="33">
        <v>28.0</v>
      </c>
      <c r="Q33" s="17" t="s">
        <v>326</v>
      </c>
      <c r="R33" s="17">
        <v>-7.5417649</v>
      </c>
      <c r="S33" s="17">
        <v>110.8206344</v>
      </c>
      <c r="T33" s="20"/>
      <c r="U33" s="33">
        <v>28.0</v>
      </c>
      <c r="V33" s="17" t="s">
        <v>178</v>
      </c>
      <c r="W33" s="17">
        <v>-7.56799</v>
      </c>
      <c r="X33" s="17">
        <v>110.81432</v>
      </c>
      <c r="Y33" s="20"/>
      <c r="Z33" s="33">
        <v>28.0</v>
      </c>
      <c r="AA33" s="15" t="s">
        <v>397</v>
      </c>
      <c r="AB33" s="25">
        <v>-7.57519</v>
      </c>
      <c r="AC33" s="25">
        <v>110.82239</v>
      </c>
      <c r="AD33" s="20"/>
      <c r="AE33" s="20"/>
      <c r="AF33" s="20"/>
      <c r="AG33" s="20"/>
      <c r="AH33" s="20"/>
      <c r="AI33" s="20"/>
      <c r="AJ33" s="33">
        <v>28.0</v>
      </c>
      <c r="AK33" s="17" t="s">
        <v>226</v>
      </c>
      <c r="AL33" s="17">
        <v>-7.5752054</v>
      </c>
      <c r="AM33" s="17">
        <v>110.8296154</v>
      </c>
      <c r="AN33" s="20"/>
      <c r="AO33" s="33">
        <v>28.0</v>
      </c>
      <c r="AP33" s="23" t="s">
        <v>193</v>
      </c>
      <c r="AQ33" s="24">
        <v>-7.56733</v>
      </c>
      <c r="AR33" s="24">
        <v>110.79816</v>
      </c>
      <c r="AS33" s="20"/>
      <c r="AT33" s="33">
        <v>28.0</v>
      </c>
      <c r="AU33" s="13" t="s">
        <v>26</v>
      </c>
      <c r="AV33" s="25">
        <v>-7.56562</v>
      </c>
      <c r="AW33" s="25">
        <v>110.86892</v>
      </c>
    </row>
    <row r="34">
      <c r="A34" s="33">
        <v>29.0</v>
      </c>
      <c r="B34" s="17" t="s">
        <v>178</v>
      </c>
      <c r="C34" s="17">
        <v>-7.56799</v>
      </c>
      <c r="D34" s="17">
        <v>110.81432</v>
      </c>
      <c r="E34" s="20"/>
      <c r="F34" s="33">
        <v>29.0</v>
      </c>
      <c r="G34" s="17" t="s">
        <v>272</v>
      </c>
      <c r="H34" s="17">
        <v>-7.56194</v>
      </c>
      <c r="I34" s="17">
        <v>110.81174</v>
      </c>
      <c r="J34" s="20"/>
      <c r="K34" s="33">
        <v>29.0</v>
      </c>
      <c r="L34" s="17" t="s">
        <v>198</v>
      </c>
      <c r="M34" s="17">
        <v>-7.5804</v>
      </c>
      <c r="N34" s="17">
        <v>110.81513</v>
      </c>
      <c r="O34" s="20"/>
      <c r="P34" s="33">
        <v>29.0</v>
      </c>
      <c r="Q34" s="90" t="s">
        <v>509</v>
      </c>
      <c r="R34" s="19" t="s">
        <v>534</v>
      </c>
      <c r="S34" s="19" t="s">
        <v>535</v>
      </c>
      <c r="T34" s="20"/>
      <c r="U34" s="33">
        <v>29.0</v>
      </c>
      <c r="V34" s="17" t="s">
        <v>353</v>
      </c>
      <c r="W34" s="20">
        <v>-7.5686609</v>
      </c>
      <c r="X34" s="20">
        <v>110.8166249</v>
      </c>
      <c r="Y34" s="20"/>
      <c r="Z34" s="33">
        <v>29.0</v>
      </c>
      <c r="AA34" s="13" t="s">
        <v>201</v>
      </c>
      <c r="AB34" s="25">
        <v>-7.5525998</v>
      </c>
      <c r="AC34" s="25">
        <v>110.8221132</v>
      </c>
      <c r="AD34" s="20"/>
      <c r="AE34" s="20"/>
      <c r="AF34" s="20"/>
      <c r="AG34" s="20"/>
      <c r="AH34" s="20"/>
      <c r="AI34" s="20"/>
      <c r="AJ34" s="33">
        <v>29.0</v>
      </c>
      <c r="AK34" s="17" t="s">
        <v>227</v>
      </c>
      <c r="AL34" s="17">
        <v>-7.57607</v>
      </c>
      <c r="AM34" s="17">
        <v>110.82909</v>
      </c>
      <c r="AN34" s="20"/>
      <c r="AO34" s="33">
        <v>29.0</v>
      </c>
      <c r="AP34" s="23" t="s">
        <v>194</v>
      </c>
      <c r="AQ34" s="24">
        <v>-7.5695802</v>
      </c>
      <c r="AR34" s="24">
        <v>110.7971372</v>
      </c>
      <c r="AS34" s="20"/>
      <c r="AT34" s="33">
        <v>29.0</v>
      </c>
      <c r="AU34" s="13" t="s">
        <v>513</v>
      </c>
      <c r="AV34" s="25">
        <v>-7.56607199999999</v>
      </c>
      <c r="AW34" s="25">
        <v>110.87161</v>
      </c>
    </row>
    <row r="35">
      <c r="A35" s="33">
        <v>30.0</v>
      </c>
      <c r="B35" s="17" t="s">
        <v>179</v>
      </c>
      <c r="C35" s="17">
        <v>-7.56706</v>
      </c>
      <c r="D35" s="17">
        <v>110.8119</v>
      </c>
      <c r="E35" s="20"/>
      <c r="F35" s="33">
        <v>30.0</v>
      </c>
      <c r="G35" s="17" t="s">
        <v>273</v>
      </c>
      <c r="H35" s="17">
        <v>-7.5624118</v>
      </c>
      <c r="I35" s="17">
        <v>110.8100122</v>
      </c>
      <c r="J35" s="20"/>
      <c r="K35" s="33">
        <v>30.0</v>
      </c>
      <c r="L35" s="17" t="s">
        <v>199</v>
      </c>
      <c r="M35" s="17">
        <v>-7.58111</v>
      </c>
      <c r="N35" s="17">
        <v>110.81723</v>
      </c>
      <c r="O35" s="20"/>
      <c r="P35" s="33">
        <v>30.0</v>
      </c>
      <c r="Q35" s="23" t="s">
        <v>211</v>
      </c>
      <c r="R35" s="24">
        <v>-7.55188679999999</v>
      </c>
      <c r="S35" s="24">
        <v>110.8195409</v>
      </c>
      <c r="T35" s="20"/>
      <c r="U35" s="33">
        <v>30.0</v>
      </c>
      <c r="V35" s="17" t="s">
        <v>177</v>
      </c>
      <c r="W35" s="17">
        <v>-7.56637449999999</v>
      </c>
      <c r="X35" s="17">
        <v>110.8187841</v>
      </c>
      <c r="Y35" s="20"/>
      <c r="Z35" s="33">
        <v>30.0</v>
      </c>
      <c r="AA35" s="15" t="s">
        <v>354</v>
      </c>
      <c r="AB35" s="25">
        <v>-7.58219</v>
      </c>
      <c r="AC35" s="25">
        <v>110.82094</v>
      </c>
      <c r="AD35" s="20"/>
      <c r="AE35" s="20"/>
      <c r="AF35" s="20"/>
      <c r="AG35" s="20"/>
      <c r="AH35" s="20"/>
      <c r="AI35" s="20"/>
      <c r="AJ35" s="33">
        <v>30.0</v>
      </c>
      <c r="AK35" s="17" t="s">
        <v>433</v>
      </c>
      <c r="AL35" s="17">
        <v>-7.57505</v>
      </c>
      <c r="AM35" s="17">
        <v>110.82771</v>
      </c>
      <c r="AN35" s="20"/>
      <c r="AO35" s="33">
        <v>30.0</v>
      </c>
      <c r="AP35" s="23" t="s">
        <v>195</v>
      </c>
      <c r="AQ35" s="24">
        <v>-7.5690719</v>
      </c>
      <c r="AR35" s="24">
        <v>110.7945611</v>
      </c>
      <c r="AS35" s="20"/>
      <c r="AT35" s="20"/>
      <c r="AU35" s="20"/>
      <c r="AV35" s="20"/>
      <c r="AW35" s="20"/>
    </row>
    <row r="36">
      <c r="A36" s="33">
        <v>31.0</v>
      </c>
      <c r="B36" s="17" t="s">
        <v>180</v>
      </c>
      <c r="C36" s="17">
        <v>-7.5653557</v>
      </c>
      <c r="D36" s="17">
        <v>110.8059815</v>
      </c>
      <c r="E36" s="20"/>
      <c r="F36" s="33">
        <v>31.0</v>
      </c>
      <c r="G36" s="17" t="s">
        <v>191</v>
      </c>
      <c r="H36" s="17">
        <v>-7.5621785</v>
      </c>
      <c r="I36" s="17">
        <v>110.8074437</v>
      </c>
      <c r="J36" s="20"/>
      <c r="K36" s="33">
        <v>31.0</v>
      </c>
      <c r="L36" s="17" t="s">
        <v>303</v>
      </c>
      <c r="M36" s="17">
        <v>-7.5817</v>
      </c>
      <c r="N36" s="17">
        <v>110.81975</v>
      </c>
      <c r="O36" s="20"/>
      <c r="P36" s="33">
        <v>31.0</v>
      </c>
      <c r="Q36" s="15" t="s">
        <v>327</v>
      </c>
      <c r="R36" s="24">
        <v>-7.55329</v>
      </c>
      <c r="S36" s="24">
        <v>110.82348</v>
      </c>
      <c r="T36" s="20"/>
      <c r="U36" s="33">
        <v>31.0</v>
      </c>
      <c r="V36" s="17" t="s">
        <v>176</v>
      </c>
      <c r="W36" s="17">
        <v>-7.569951</v>
      </c>
      <c r="X36" s="17">
        <v>110.8200437</v>
      </c>
      <c r="Y36" s="20"/>
      <c r="Z36" s="33">
        <v>31.0</v>
      </c>
      <c r="AA36" s="15" t="s">
        <v>398</v>
      </c>
      <c r="AB36" s="25">
        <v>-7.58294</v>
      </c>
      <c r="AC36" s="25">
        <v>110.82355</v>
      </c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33">
        <v>31.0</v>
      </c>
      <c r="AP36" s="23" t="s">
        <v>453</v>
      </c>
      <c r="AQ36" s="24">
        <v>-7.56842999999999</v>
      </c>
      <c r="AR36" s="24">
        <v>110.79086</v>
      </c>
      <c r="AS36" s="20"/>
      <c r="AT36" s="20"/>
      <c r="AU36" s="20"/>
      <c r="AV36" s="20"/>
      <c r="AW36" s="20"/>
    </row>
    <row r="37">
      <c r="A37" s="33">
        <v>32.0</v>
      </c>
      <c r="B37" s="17" t="s">
        <v>181</v>
      </c>
      <c r="C37" s="17">
        <v>-7.56527</v>
      </c>
      <c r="D37" s="17">
        <v>110.80539</v>
      </c>
      <c r="E37" s="20"/>
      <c r="F37" s="33">
        <v>32.0</v>
      </c>
      <c r="G37" s="17" t="s">
        <v>192</v>
      </c>
      <c r="H37" s="17">
        <v>-7.56372999999999</v>
      </c>
      <c r="I37" s="17">
        <v>110.80648</v>
      </c>
      <c r="J37" s="20"/>
      <c r="K37" s="33">
        <v>32.0</v>
      </c>
      <c r="L37" s="17" t="s">
        <v>201</v>
      </c>
      <c r="M37" s="17">
        <v>-7.5525998</v>
      </c>
      <c r="N37" s="20">
        <v>110.8218411</v>
      </c>
      <c r="O37" s="20"/>
      <c r="P37" s="33">
        <v>32.0</v>
      </c>
      <c r="Q37" s="15" t="s">
        <v>328</v>
      </c>
      <c r="R37" s="24">
        <v>-7.55413999999999</v>
      </c>
      <c r="S37" s="24">
        <v>110.82749</v>
      </c>
      <c r="T37" s="20"/>
      <c r="U37" s="33">
        <v>32.0</v>
      </c>
      <c r="V37" s="17" t="s">
        <v>175</v>
      </c>
      <c r="W37" s="17">
        <v>-7.6625011</v>
      </c>
      <c r="X37" s="17">
        <v>111.9618081</v>
      </c>
      <c r="Y37" s="20"/>
      <c r="Z37" s="33">
        <v>32.0</v>
      </c>
      <c r="AA37" s="15" t="s">
        <v>399</v>
      </c>
      <c r="AB37" s="25">
        <v>-7.583363</v>
      </c>
      <c r="AC37" s="25">
        <v>110.82487</v>
      </c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33">
        <v>32.0</v>
      </c>
      <c r="AP37" s="15" t="s">
        <v>197</v>
      </c>
      <c r="AQ37" s="20">
        <v>-7.5686656</v>
      </c>
      <c r="AR37" s="20">
        <v>110.7899912</v>
      </c>
      <c r="AS37" s="20"/>
      <c r="AT37" s="20"/>
      <c r="AU37" s="20"/>
      <c r="AV37" s="20"/>
      <c r="AW37" s="20"/>
    </row>
    <row r="38">
      <c r="A38" s="33">
        <v>33.0</v>
      </c>
      <c r="B38" s="17" t="s">
        <v>237</v>
      </c>
      <c r="C38" s="20">
        <v>-7.5632798</v>
      </c>
      <c r="D38" s="20">
        <v>110.7987311</v>
      </c>
      <c r="E38" s="20"/>
      <c r="F38" s="33">
        <v>33.0</v>
      </c>
      <c r="G38" s="17" t="s">
        <v>181</v>
      </c>
      <c r="H38" s="17">
        <v>-7.56527</v>
      </c>
      <c r="I38" s="17">
        <v>110.80539</v>
      </c>
      <c r="J38" s="20"/>
      <c r="K38" s="33">
        <v>33.0</v>
      </c>
      <c r="L38" s="17" t="s">
        <v>202</v>
      </c>
      <c r="M38" s="17">
        <v>-7.57392</v>
      </c>
      <c r="N38" s="17">
        <v>110.88229</v>
      </c>
      <c r="O38" s="20"/>
      <c r="P38" s="33">
        <v>33.0</v>
      </c>
      <c r="Q38" s="15" t="s">
        <v>329</v>
      </c>
      <c r="R38" s="24">
        <v>-7.70115469999999</v>
      </c>
      <c r="S38" s="24">
        <v>110.4472796</v>
      </c>
      <c r="T38" s="20"/>
      <c r="U38" s="33">
        <v>33.0</v>
      </c>
      <c r="V38" s="17" t="s">
        <v>203</v>
      </c>
      <c r="W38" s="17">
        <v>-7.57323</v>
      </c>
      <c r="X38" s="17">
        <v>110.82357</v>
      </c>
      <c r="Y38" s="20"/>
      <c r="Z38" s="33">
        <v>33.0</v>
      </c>
      <c r="AA38" s="13" t="s">
        <v>214</v>
      </c>
      <c r="AB38" s="25">
        <v>-7.58356249999999</v>
      </c>
      <c r="AC38" s="25">
        <v>110.8263556</v>
      </c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33">
        <v>33.0</v>
      </c>
      <c r="AP38" s="23" t="s">
        <v>196</v>
      </c>
      <c r="AQ38" s="25">
        <v>-7.56832</v>
      </c>
      <c r="AR38" s="24">
        <v>110.78806</v>
      </c>
      <c r="AS38" s="20"/>
      <c r="AT38" s="20"/>
      <c r="AU38" s="20"/>
      <c r="AV38" s="20"/>
      <c r="AW38" s="20"/>
    </row>
    <row r="39">
      <c r="A39" s="33">
        <v>34.0</v>
      </c>
      <c r="B39" s="17" t="s">
        <v>238</v>
      </c>
      <c r="C39" s="17">
        <v>-7.5605099</v>
      </c>
      <c r="D39" s="17">
        <v>110.7896978</v>
      </c>
      <c r="E39" s="20"/>
      <c r="F39" s="33">
        <v>34.0</v>
      </c>
      <c r="G39" s="17" t="s">
        <v>274</v>
      </c>
      <c r="H39" s="17">
        <v>-7.56310469999999</v>
      </c>
      <c r="I39" s="17">
        <v>110.8016497</v>
      </c>
      <c r="J39" s="20"/>
      <c r="K39" s="33">
        <v>34.0</v>
      </c>
      <c r="L39" s="17" t="s">
        <v>203</v>
      </c>
      <c r="M39" s="17">
        <v>-7.57291</v>
      </c>
      <c r="N39" s="17">
        <v>110.82354</v>
      </c>
      <c r="O39" s="20"/>
      <c r="P39" s="33">
        <v>34.0</v>
      </c>
      <c r="Q39" s="15" t="s">
        <v>330</v>
      </c>
      <c r="R39" s="25">
        <v>-7.55463</v>
      </c>
      <c r="S39" s="25">
        <v>110.83393</v>
      </c>
      <c r="T39" s="20"/>
      <c r="U39" s="33">
        <v>34.0</v>
      </c>
      <c r="V39" s="17" t="s">
        <v>202</v>
      </c>
      <c r="W39" s="17">
        <v>-7.57457</v>
      </c>
      <c r="X39" s="17">
        <v>110.82293</v>
      </c>
      <c r="Y39" s="20"/>
      <c r="Z39" s="33">
        <v>34.0</v>
      </c>
      <c r="AA39" s="15" t="s">
        <v>400</v>
      </c>
      <c r="AB39" s="25">
        <v>-7.5849525</v>
      </c>
      <c r="AC39" s="25">
        <v>110.8290043</v>
      </c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33">
        <v>34.0</v>
      </c>
      <c r="AP39" s="23" t="s">
        <v>454</v>
      </c>
      <c r="AQ39" s="24">
        <v>-7.56813</v>
      </c>
      <c r="AR39" s="24">
        <v>110.78669</v>
      </c>
      <c r="AS39" s="20"/>
      <c r="AT39" s="20"/>
      <c r="AU39" s="20"/>
      <c r="AV39" s="20"/>
      <c r="AW39" s="20"/>
    </row>
    <row r="40">
      <c r="A40" s="33">
        <v>35.0</v>
      </c>
      <c r="B40" s="17" t="s">
        <v>239</v>
      </c>
      <c r="C40" s="17">
        <v>-7.55973</v>
      </c>
      <c r="D40" s="17">
        <v>110.78786</v>
      </c>
      <c r="E40" s="20"/>
      <c r="F40" s="33">
        <v>35.0</v>
      </c>
      <c r="G40" s="17" t="s">
        <v>275</v>
      </c>
      <c r="H40" s="17">
        <v>-7.56388199999999</v>
      </c>
      <c r="I40" s="17">
        <v>110.7991087</v>
      </c>
      <c r="J40" s="20"/>
      <c r="K40" s="33">
        <v>35.0</v>
      </c>
      <c r="L40" s="17" t="s">
        <v>174</v>
      </c>
      <c r="M40" s="17">
        <v>-7.57210359999999</v>
      </c>
      <c r="N40" s="17">
        <v>110.8238282</v>
      </c>
      <c r="O40" s="20"/>
      <c r="P40" s="33">
        <v>35.0</v>
      </c>
      <c r="Q40" s="15" t="s">
        <v>331</v>
      </c>
      <c r="R40" s="24">
        <v>-7.5561722</v>
      </c>
      <c r="S40" s="24">
        <v>110.8385638</v>
      </c>
      <c r="T40" s="20"/>
      <c r="U40" s="33">
        <v>35.0</v>
      </c>
      <c r="V40" s="17" t="s">
        <v>201</v>
      </c>
      <c r="W40" s="17">
        <v>-7.5525998</v>
      </c>
      <c r="X40" s="20">
        <v>110.8218411</v>
      </c>
      <c r="Y40" s="20"/>
      <c r="Z40" s="60">
        <v>35.0</v>
      </c>
      <c r="AA40" s="15" t="s">
        <v>401</v>
      </c>
      <c r="AB40" s="25">
        <v>-7.58623</v>
      </c>
      <c r="AC40" s="25">
        <v>110.83403</v>
      </c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33">
        <v>35.0</v>
      </c>
      <c r="AP40" s="15" t="s">
        <v>455</v>
      </c>
      <c r="AQ40" s="29">
        <v>-7.57069999999999</v>
      </c>
      <c r="AR40" s="29">
        <v>110.7838272</v>
      </c>
      <c r="AS40" s="20"/>
      <c r="AT40" s="20"/>
      <c r="AU40" s="20"/>
      <c r="AV40" s="20"/>
      <c r="AW40" s="20"/>
    </row>
    <row r="41">
      <c r="A41" s="33">
        <v>36.0</v>
      </c>
      <c r="B41" s="17" t="s">
        <v>240</v>
      </c>
      <c r="C41" s="17">
        <v>-7.55853589999999</v>
      </c>
      <c r="D41" s="17">
        <v>110.7842387</v>
      </c>
      <c r="E41" s="17"/>
      <c r="F41" s="33">
        <v>36.0</v>
      </c>
      <c r="G41" s="17" t="s">
        <v>193</v>
      </c>
      <c r="H41" s="17">
        <v>-7.5695177</v>
      </c>
      <c r="I41" s="17">
        <v>110.8250266</v>
      </c>
      <c r="J41" s="20"/>
      <c r="K41" s="33">
        <v>36.0</v>
      </c>
      <c r="L41" s="17" t="s">
        <v>173</v>
      </c>
      <c r="M41" s="17">
        <v>-7.57198</v>
      </c>
      <c r="N41" s="17">
        <v>110.82808</v>
      </c>
      <c r="O41" s="20"/>
      <c r="P41" s="33">
        <v>36.0</v>
      </c>
      <c r="Q41" s="23" t="s">
        <v>165</v>
      </c>
      <c r="R41" s="24">
        <v>-7.5598806</v>
      </c>
      <c r="S41" s="24">
        <v>110.8371909</v>
      </c>
      <c r="T41" s="20"/>
      <c r="U41" s="91">
        <v>36.0</v>
      </c>
      <c r="V41" s="17" t="s">
        <v>354</v>
      </c>
      <c r="W41" s="17">
        <v>-7.58217</v>
      </c>
      <c r="X41" s="17">
        <v>110.82094</v>
      </c>
      <c r="Y41" s="20"/>
      <c r="Z41" s="33">
        <v>36.0</v>
      </c>
      <c r="AA41" s="15" t="s">
        <v>402</v>
      </c>
      <c r="AB41" s="25">
        <v>-7.58938</v>
      </c>
      <c r="AC41" s="25">
        <v>110.8350067</v>
      </c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33">
        <v>36.0</v>
      </c>
      <c r="AP41" s="23" t="s">
        <v>456</v>
      </c>
      <c r="AQ41" s="25">
        <v>-7.57117</v>
      </c>
      <c r="AR41" s="24">
        <v>110.7839</v>
      </c>
      <c r="AS41" s="20"/>
      <c r="AT41" s="20"/>
      <c r="AU41" s="20"/>
      <c r="AV41" s="20"/>
      <c r="AW41" s="20"/>
    </row>
    <row r="42">
      <c r="A42" s="33">
        <v>37.0</v>
      </c>
      <c r="B42" s="17" t="s">
        <v>241</v>
      </c>
      <c r="C42" s="17">
        <v>-7.557598</v>
      </c>
      <c r="D42" s="17">
        <v>110.778868</v>
      </c>
      <c r="E42" s="20"/>
      <c r="F42" s="33">
        <v>37.0</v>
      </c>
      <c r="G42" s="17" t="s">
        <v>194</v>
      </c>
      <c r="H42" s="17">
        <v>-7.5695802</v>
      </c>
      <c r="I42" s="17">
        <v>110.7971372</v>
      </c>
      <c r="J42" s="20"/>
      <c r="K42" s="33">
        <v>37.0</v>
      </c>
      <c r="L42" s="17" t="s">
        <v>536</v>
      </c>
      <c r="M42" s="17">
        <v>-7.57110669999999</v>
      </c>
      <c r="N42" s="17">
        <v>110.8294726</v>
      </c>
      <c r="O42" s="20"/>
      <c r="P42" s="33">
        <v>37.0</v>
      </c>
      <c r="Q42" s="23" t="s">
        <v>503</v>
      </c>
      <c r="R42" s="24">
        <v>-7.5602845</v>
      </c>
      <c r="S42" s="24">
        <v>110.8402108</v>
      </c>
      <c r="T42" s="20"/>
      <c r="U42" s="33">
        <v>37.0</v>
      </c>
      <c r="V42" s="17" t="s">
        <v>213</v>
      </c>
      <c r="W42" s="17">
        <v>-7.583363</v>
      </c>
      <c r="X42" s="17">
        <v>110.82487</v>
      </c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33">
        <v>37.0</v>
      </c>
      <c r="AP42" s="23" t="s">
        <v>457</v>
      </c>
      <c r="AQ42" s="24">
        <v>-7.57328</v>
      </c>
      <c r="AR42" s="24">
        <v>110.78369</v>
      </c>
      <c r="AS42" s="20"/>
      <c r="AT42" s="20"/>
      <c r="AU42" s="20"/>
      <c r="AV42" s="20"/>
      <c r="AW42" s="20"/>
    </row>
    <row r="43">
      <c r="A43" s="33">
        <v>38.0</v>
      </c>
      <c r="B43" s="17" t="s">
        <v>242</v>
      </c>
      <c r="C43" s="17">
        <v>-7.55768</v>
      </c>
      <c r="D43" s="20">
        <v>110.7761661</v>
      </c>
      <c r="E43" s="20"/>
      <c r="F43" s="33">
        <v>38.0</v>
      </c>
      <c r="G43" s="17" t="s">
        <v>195</v>
      </c>
      <c r="H43" s="17">
        <v>-7.5690719</v>
      </c>
      <c r="I43" s="17">
        <v>110.7945611</v>
      </c>
      <c r="J43" s="20"/>
      <c r="K43" s="33">
        <v>38.0</v>
      </c>
      <c r="L43" s="17" t="s">
        <v>171</v>
      </c>
      <c r="M43" s="17">
        <v>-7.5694476</v>
      </c>
      <c r="N43" s="17">
        <v>110.829594</v>
      </c>
      <c r="O43" s="20"/>
      <c r="P43" s="33">
        <v>38.0</v>
      </c>
      <c r="Q43" s="23" t="s">
        <v>502</v>
      </c>
      <c r="R43" s="24">
        <v>-7.55870479999999</v>
      </c>
      <c r="S43" s="24">
        <v>110.8418721</v>
      </c>
      <c r="T43" s="20"/>
      <c r="U43" s="33">
        <v>38.0</v>
      </c>
      <c r="V43" s="17" t="s">
        <v>214</v>
      </c>
      <c r="W43" s="17">
        <v>-7.58356249999999</v>
      </c>
      <c r="X43" s="17">
        <v>110.8263556</v>
      </c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33">
        <v>38.0</v>
      </c>
      <c r="AP43" s="23" t="s">
        <v>458</v>
      </c>
      <c r="AQ43" s="24">
        <v>-7.5760714</v>
      </c>
      <c r="AR43" s="24">
        <v>110.7823889</v>
      </c>
      <c r="AS43" s="20"/>
      <c r="AT43" s="20"/>
      <c r="AU43" s="20"/>
      <c r="AV43" s="20"/>
      <c r="AW43" s="20"/>
    </row>
    <row r="44">
      <c r="A44" s="33">
        <v>39.0</v>
      </c>
      <c r="B44" s="17" t="s">
        <v>243</v>
      </c>
      <c r="C44" s="17">
        <v>-7.559315</v>
      </c>
      <c r="D44" s="17">
        <v>110.7733186</v>
      </c>
      <c r="E44" s="17"/>
      <c r="F44" s="33">
        <v>39.0</v>
      </c>
      <c r="G44" s="17" t="s">
        <v>276</v>
      </c>
      <c r="H44" s="17">
        <v>-7.56729</v>
      </c>
      <c r="I44" s="17">
        <v>110.79235</v>
      </c>
      <c r="J44" s="20"/>
      <c r="K44" s="33">
        <v>39.0</v>
      </c>
      <c r="L44" s="17" t="s">
        <v>170</v>
      </c>
      <c r="M44" s="17">
        <v>-7.569377</v>
      </c>
      <c r="N44" s="17">
        <v>110.8315563</v>
      </c>
      <c r="O44" s="20"/>
      <c r="P44" s="33">
        <v>39.0</v>
      </c>
      <c r="Q44" s="23" t="s">
        <v>501</v>
      </c>
      <c r="R44" s="24">
        <v>-7.55916999999999</v>
      </c>
      <c r="S44" s="24">
        <v>110.84424</v>
      </c>
      <c r="T44" s="20"/>
      <c r="U44" s="91">
        <v>39.0</v>
      </c>
      <c r="V44" s="17" t="s">
        <v>215</v>
      </c>
      <c r="W44" s="17">
        <v>-7.58481</v>
      </c>
      <c r="X44" s="17">
        <v>110.83011</v>
      </c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33">
        <v>39.0</v>
      </c>
      <c r="AP44" s="23" t="s">
        <v>459</v>
      </c>
      <c r="AQ44" s="24">
        <v>-7.57762</v>
      </c>
      <c r="AR44" s="24">
        <v>110.78282</v>
      </c>
      <c r="AS44" s="20"/>
      <c r="AT44" s="20"/>
      <c r="AU44" s="20"/>
      <c r="AV44" s="20"/>
      <c r="AW44" s="20"/>
    </row>
    <row r="45">
      <c r="A45" s="33">
        <v>40.0</v>
      </c>
      <c r="B45" s="17" t="s">
        <v>244</v>
      </c>
      <c r="C45" s="17">
        <v>-7.55909999999999</v>
      </c>
      <c r="D45" s="17">
        <v>110.77134</v>
      </c>
      <c r="E45" s="20"/>
      <c r="F45" s="33">
        <v>40.0</v>
      </c>
      <c r="G45" s="17" t="s">
        <v>277</v>
      </c>
      <c r="H45" s="17">
        <v>-7.56296</v>
      </c>
      <c r="I45" s="17">
        <v>110.79462</v>
      </c>
      <c r="J45" s="20"/>
      <c r="K45" s="33">
        <v>40.0</v>
      </c>
      <c r="L45" s="17" t="s">
        <v>169</v>
      </c>
      <c r="M45" s="17">
        <v>-7.56717999999999</v>
      </c>
      <c r="N45" s="17">
        <v>110.83263</v>
      </c>
      <c r="O45" s="20"/>
      <c r="P45" s="33">
        <v>40.0</v>
      </c>
      <c r="Q45" s="23" t="s">
        <v>510</v>
      </c>
      <c r="R45" s="24">
        <v>-7.5579477</v>
      </c>
      <c r="S45" s="24">
        <v>110.8465221</v>
      </c>
      <c r="T45" s="20"/>
      <c r="U45" s="33">
        <v>40.0</v>
      </c>
      <c r="V45" s="17" t="s">
        <v>216</v>
      </c>
      <c r="W45" s="17">
        <v>-7.5862</v>
      </c>
      <c r="X45" s="17">
        <v>110.83378</v>
      </c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33">
        <v>40.0</v>
      </c>
      <c r="AP45" s="23" t="s">
        <v>460</v>
      </c>
      <c r="AQ45" s="24">
        <v>-7.57922</v>
      </c>
      <c r="AR45" s="24">
        <v>110.78318</v>
      </c>
      <c r="AS45" s="17"/>
      <c r="AT45" s="20"/>
      <c r="AU45" s="20"/>
      <c r="AV45" s="20"/>
      <c r="AW45" s="20"/>
    </row>
    <row r="46">
      <c r="A46" s="33">
        <v>41.0</v>
      </c>
      <c r="B46" s="17" t="s">
        <v>245</v>
      </c>
      <c r="C46" s="20">
        <v>-7.5650102</v>
      </c>
      <c r="D46" s="20">
        <v>110.8068005</v>
      </c>
      <c r="E46" s="20"/>
      <c r="F46" s="33">
        <v>41.0</v>
      </c>
      <c r="G46" s="17" t="s">
        <v>278</v>
      </c>
      <c r="H46" s="17">
        <v>-7.5616918</v>
      </c>
      <c r="I46" s="17">
        <v>110.7965074</v>
      </c>
      <c r="J46" s="20"/>
      <c r="K46" s="33">
        <v>41.0</v>
      </c>
      <c r="L46" s="17" t="s">
        <v>168</v>
      </c>
      <c r="M46" s="17">
        <v>-7.5645116</v>
      </c>
      <c r="N46" s="17">
        <v>110.834624</v>
      </c>
      <c r="O46" s="20"/>
      <c r="P46" s="33">
        <v>41.0</v>
      </c>
      <c r="Q46" s="23" t="s">
        <v>204</v>
      </c>
      <c r="R46" s="24">
        <v>-7.5568</v>
      </c>
      <c r="S46" s="24">
        <v>110.84942</v>
      </c>
      <c r="T46" s="20"/>
      <c r="U46" s="33">
        <v>41.0</v>
      </c>
      <c r="V46" s="17" t="s">
        <v>355</v>
      </c>
      <c r="W46" s="20">
        <v>-7.5873449</v>
      </c>
      <c r="X46" s="20">
        <v>110.8363838</v>
      </c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33">
        <v>41.0</v>
      </c>
      <c r="AP46" s="13" t="s">
        <v>461</v>
      </c>
      <c r="AQ46" s="25">
        <v>-7.5842</v>
      </c>
      <c r="AR46" s="25">
        <v>110.7844</v>
      </c>
      <c r="AS46" s="20"/>
      <c r="AT46" s="20"/>
      <c r="AU46" s="20"/>
      <c r="AV46" s="20"/>
      <c r="AW46" s="20"/>
    </row>
    <row r="47">
      <c r="A47" s="33">
        <v>42.0</v>
      </c>
      <c r="B47" s="17" t="s">
        <v>246</v>
      </c>
      <c r="C47" s="17">
        <v>-7.562292</v>
      </c>
      <c r="D47" s="17">
        <v>110.8098311</v>
      </c>
      <c r="E47" s="20"/>
      <c r="F47" s="33"/>
      <c r="G47" s="17"/>
      <c r="H47" s="17"/>
      <c r="I47" s="17"/>
      <c r="J47" s="20"/>
      <c r="K47" s="33">
        <v>42.0</v>
      </c>
      <c r="L47" s="17" t="s">
        <v>167</v>
      </c>
      <c r="M47" s="17">
        <v>-7.56303</v>
      </c>
      <c r="N47" s="17">
        <v>110.83529</v>
      </c>
      <c r="O47" s="20"/>
      <c r="P47" s="33">
        <v>42.0</v>
      </c>
      <c r="Q47" s="15" t="s">
        <v>332</v>
      </c>
      <c r="R47" s="24">
        <v>-7.5560692</v>
      </c>
      <c r="S47" s="24">
        <v>110.8538665</v>
      </c>
      <c r="T47" s="20"/>
      <c r="U47" s="33">
        <v>42.0</v>
      </c>
      <c r="V47" s="17" t="s">
        <v>217</v>
      </c>
      <c r="W47" s="17">
        <v>-7.58941</v>
      </c>
      <c r="X47" s="17">
        <v>110.83498</v>
      </c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33">
        <v>42.0</v>
      </c>
      <c r="AP47" s="13" t="s">
        <v>462</v>
      </c>
      <c r="AQ47" s="25">
        <v>-7.58321</v>
      </c>
      <c r="AR47" s="25">
        <v>110.78354</v>
      </c>
      <c r="AS47" s="20"/>
      <c r="AT47" s="20"/>
      <c r="AU47" s="20"/>
      <c r="AV47" s="20"/>
      <c r="AW47" s="20"/>
    </row>
    <row r="48">
      <c r="A48" s="33">
        <v>43.0</v>
      </c>
      <c r="B48" s="17" t="s">
        <v>247</v>
      </c>
      <c r="C48" s="17">
        <v>-7.5609797</v>
      </c>
      <c r="D48" s="17">
        <v>110.7654018</v>
      </c>
      <c r="E48" s="20"/>
      <c r="F48" s="20"/>
      <c r="G48" s="20"/>
      <c r="H48" s="20"/>
      <c r="I48" s="20"/>
      <c r="J48" s="20"/>
      <c r="K48" s="33">
        <v>43.0</v>
      </c>
      <c r="L48" s="17" t="s">
        <v>166</v>
      </c>
      <c r="M48" s="17">
        <v>-7.56172</v>
      </c>
      <c r="N48" s="17">
        <v>110.83609</v>
      </c>
      <c r="O48" s="20"/>
      <c r="P48" s="33">
        <v>43.0</v>
      </c>
      <c r="Q48" s="15" t="s">
        <v>206</v>
      </c>
      <c r="R48" s="24">
        <v>-7.5550907</v>
      </c>
      <c r="S48" s="24">
        <v>110.8551854</v>
      </c>
      <c r="T48" s="20"/>
      <c r="U48" s="33">
        <v>43.0</v>
      </c>
      <c r="V48" s="17" t="s">
        <v>356</v>
      </c>
      <c r="W48" s="17">
        <v>-7.5895363</v>
      </c>
      <c r="X48" s="17">
        <v>110.8406702</v>
      </c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</row>
    <row r="49">
      <c r="A49" s="33">
        <v>44.0</v>
      </c>
      <c r="B49" s="17" t="s">
        <v>248</v>
      </c>
      <c r="C49" s="17">
        <v>-7.56075</v>
      </c>
      <c r="D49" s="17">
        <v>110.762541</v>
      </c>
      <c r="E49" s="20"/>
      <c r="F49" s="20"/>
      <c r="G49" s="20"/>
      <c r="H49" s="20"/>
      <c r="I49" s="20"/>
      <c r="J49" s="20"/>
      <c r="K49" s="33">
        <v>44.0</v>
      </c>
      <c r="L49" s="17" t="s">
        <v>165</v>
      </c>
      <c r="M49" s="17">
        <v>-7.5598806</v>
      </c>
      <c r="N49" s="17">
        <v>110.8371909</v>
      </c>
      <c r="O49" s="20"/>
      <c r="P49" s="33">
        <v>44.0</v>
      </c>
      <c r="Q49" s="15" t="s">
        <v>333</v>
      </c>
      <c r="R49" s="24">
        <v>-7.55431</v>
      </c>
      <c r="S49" s="24">
        <v>110.85663</v>
      </c>
      <c r="T49" s="20"/>
      <c r="U49" s="91">
        <v>44.0</v>
      </c>
      <c r="V49" s="17" t="s">
        <v>357</v>
      </c>
      <c r="W49" s="17">
        <v>-7.59259</v>
      </c>
      <c r="X49" s="17">
        <v>110.84584</v>
      </c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</row>
    <row r="50">
      <c r="A50" s="33">
        <v>45.0</v>
      </c>
      <c r="B50" s="17" t="s">
        <v>249</v>
      </c>
      <c r="C50" s="17">
        <v>-7.5673189</v>
      </c>
      <c r="D50" s="17">
        <v>110.7562271</v>
      </c>
      <c r="E50" s="20"/>
      <c r="F50" s="20"/>
      <c r="G50" s="20"/>
      <c r="H50" s="20"/>
      <c r="I50" s="20"/>
      <c r="J50" s="20"/>
      <c r="K50" s="33">
        <v>45.0</v>
      </c>
      <c r="L50" s="17" t="s">
        <v>503</v>
      </c>
      <c r="M50" s="17">
        <v>-7.5602845</v>
      </c>
      <c r="N50" s="17">
        <v>110.8402108</v>
      </c>
      <c r="O50" s="20"/>
      <c r="P50" s="33">
        <v>45.0</v>
      </c>
      <c r="Q50" s="15" t="s">
        <v>334</v>
      </c>
      <c r="R50" s="24">
        <v>-7.55686219999999</v>
      </c>
      <c r="S50" s="24">
        <v>110.860724</v>
      </c>
      <c r="T50" s="20"/>
      <c r="U50" s="91">
        <v>45.0</v>
      </c>
      <c r="V50" s="17" t="s">
        <v>358</v>
      </c>
      <c r="W50" s="17">
        <v>-7.59415</v>
      </c>
      <c r="X50" s="17">
        <v>110.84859</v>
      </c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</row>
    <row r="51">
      <c r="A51" s="33">
        <v>46.0</v>
      </c>
      <c r="B51" s="17" t="s">
        <v>250</v>
      </c>
      <c r="C51" s="17">
        <v>-7.559467</v>
      </c>
      <c r="D51" s="17">
        <v>110.75629</v>
      </c>
      <c r="E51" s="17"/>
      <c r="F51" s="20"/>
      <c r="G51" s="20"/>
      <c r="H51" s="20"/>
      <c r="I51" s="20"/>
      <c r="J51" s="20"/>
      <c r="K51" s="33">
        <v>46.0</v>
      </c>
      <c r="L51" s="17" t="s">
        <v>502</v>
      </c>
      <c r="M51" s="17">
        <v>-7.55870479999999</v>
      </c>
      <c r="N51" s="17">
        <v>110.8418721</v>
      </c>
      <c r="O51" s="20"/>
      <c r="P51" s="33">
        <v>46.0</v>
      </c>
      <c r="Q51" s="26" t="s">
        <v>335</v>
      </c>
      <c r="R51" s="24">
        <v>-7.56008</v>
      </c>
      <c r="S51" s="24">
        <v>110.86052</v>
      </c>
      <c r="T51" s="20"/>
      <c r="U51" s="33">
        <v>46.0</v>
      </c>
      <c r="V51" s="17" t="s">
        <v>359</v>
      </c>
      <c r="W51" s="17">
        <v>-7.5962519</v>
      </c>
      <c r="X51" s="17">
        <v>110.8506027</v>
      </c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</row>
    <row r="52">
      <c r="A52" s="33">
        <v>47.0</v>
      </c>
      <c r="B52" s="17" t="s">
        <v>251</v>
      </c>
      <c r="C52" s="17">
        <v>-7.558006</v>
      </c>
      <c r="D52" s="17">
        <v>110.75366</v>
      </c>
      <c r="E52" s="20"/>
      <c r="F52" s="20"/>
      <c r="G52" s="20"/>
      <c r="H52" s="20"/>
      <c r="I52" s="20"/>
      <c r="J52" s="20"/>
      <c r="K52" s="33">
        <v>47.0</v>
      </c>
      <c r="L52" s="17" t="s">
        <v>501</v>
      </c>
      <c r="M52" s="17">
        <v>-7.55916999999999</v>
      </c>
      <c r="N52" s="17">
        <v>110.84424</v>
      </c>
      <c r="O52" s="20"/>
      <c r="P52" s="33">
        <v>47.0</v>
      </c>
      <c r="Q52" s="27" t="s">
        <v>336</v>
      </c>
      <c r="R52" s="24">
        <v>-7.5623</v>
      </c>
      <c r="S52" s="24">
        <v>110.85907</v>
      </c>
      <c r="T52" s="20"/>
      <c r="U52" s="33">
        <v>47.0</v>
      </c>
      <c r="V52" s="17" t="s">
        <v>360</v>
      </c>
      <c r="W52" s="17">
        <v>-7.597319</v>
      </c>
      <c r="X52" s="17">
        <v>110.8539404</v>
      </c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</row>
    <row r="53">
      <c r="A53" s="33">
        <v>48.0</v>
      </c>
      <c r="B53" s="17" t="s">
        <v>252</v>
      </c>
      <c r="C53" s="17">
        <v>-7.5564703</v>
      </c>
      <c r="D53" s="17">
        <v>110.7508007</v>
      </c>
      <c r="E53" s="17"/>
      <c r="F53" s="20"/>
      <c r="G53" s="20"/>
      <c r="H53" s="20"/>
      <c r="I53" s="20"/>
      <c r="J53" s="20"/>
      <c r="K53" s="33">
        <v>48.0</v>
      </c>
      <c r="L53" s="17" t="s">
        <v>510</v>
      </c>
      <c r="M53" s="17">
        <v>-7.5579477</v>
      </c>
      <c r="N53" s="17">
        <v>110.8465221</v>
      </c>
      <c r="O53" s="20"/>
      <c r="P53" s="33">
        <v>48.0</v>
      </c>
      <c r="Q53" s="15" t="s">
        <v>337</v>
      </c>
      <c r="R53" s="25">
        <v>-7.56521899999999</v>
      </c>
      <c r="S53" s="24">
        <v>110.858743</v>
      </c>
      <c r="T53" s="20"/>
      <c r="U53" s="91">
        <v>48.0</v>
      </c>
      <c r="V53" s="17" t="s">
        <v>361</v>
      </c>
      <c r="W53" s="17">
        <v>-7.5986</v>
      </c>
      <c r="X53" s="17">
        <v>110.85674</v>
      </c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</row>
    <row r="54">
      <c r="A54" s="33">
        <v>49.0</v>
      </c>
      <c r="B54" s="17" t="s">
        <v>253</v>
      </c>
      <c r="C54" s="17">
        <v>-7.555268</v>
      </c>
      <c r="D54" s="17">
        <v>110.747853</v>
      </c>
      <c r="E54" s="17"/>
      <c r="F54" s="20"/>
      <c r="G54" s="20"/>
      <c r="H54" s="20"/>
      <c r="I54" s="20"/>
      <c r="J54" s="20"/>
      <c r="K54" s="33">
        <v>49.0</v>
      </c>
      <c r="L54" s="17" t="s">
        <v>204</v>
      </c>
      <c r="M54" s="17">
        <v>-7.5568</v>
      </c>
      <c r="N54" s="17">
        <v>110.84942</v>
      </c>
      <c r="O54" s="20"/>
      <c r="P54" s="33">
        <v>49.0</v>
      </c>
      <c r="Q54" s="23" t="s">
        <v>512</v>
      </c>
      <c r="R54" s="24">
        <v>-7.5653331</v>
      </c>
      <c r="S54" s="24">
        <v>110.8649</v>
      </c>
      <c r="T54" s="20"/>
      <c r="U54" s="33">
        <v>49.0</v>
      </c>
      <c r="V54" s="17" t="s">
        <v>362</v>
      </c>
      <c r="W54" s="20">
        <v>-7.6004883</v>
      </c>
      <c r="X54" s="17">
        <v>110.86003</v>
      </c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</row>
    <row r="55">
      <c r="A55" s="33">
        <v>50.0</v>
      </c>
      <c r="B55" s="17" t="s">
        <v>254</v>
      </c>
      <c r="C55" s="20">
        <v>-7.5715139</v>
      </c>
      <c r="D55" s="20">
        <v>110.8288192</v>
      </c>
      <c r="E55" s="17"/>
      <c r="F55" s="20"/>
      <c r="G55" s="20"/>
      <c r="H55" s="20"/>
      <c r="I55" s="20"/>
      <c r="J55" s="20"/>
      <c r="K55" s="33">
        <v>50.0</v>
      </c>
      <c r="L55" s="17" t="s">
        <v>205</v>
      </c>
      <c r="M55" s="17">
        <v>-7.5560692</v>
      </c>
      <c r="N55" s="17">
        <v>110.8538665</v>
      </c>
      <c r="O55" s="20"/>
      <c r="P55" s="33">
        <v>50.0</v>
      </c>
      <c r="Q55" s="28" t="s">
        <v>26</v>
      </c>
      <c r="R55" s="24">
        <v>-7.56562</v>
      </c>
      <c r="S55" s="24">
        <v>110.86892</v>
      </c>
      <c r="T55" s="20"/>
      <c r="U55" s="33">
        <v>50.0</v>
      </c>
      <c r="V55" s="17" t="s">
        <v>363</v>
      </c>
      <c r="W55" s="17">
        <v>-7.6046944</v>
      </c>
      <c r="X55" s="17">
        <v>110.8582722</v>
      </c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</row>
    <row r="56">
      <c r="A56" s="33">
        <v>51.0</v>
      </c>
      <c r="B56" s="17" t="s">
        <v>255</v>
      </c>
      <c r="C56" s="17">
        <v>-7.553264</v>
      </c>
      <c r="D56" s="17">
        <v>110.7439</v>
      </c>
      <c r="E56" s="17"/>
      <c r="F56" s="20"/>
      <c r="G56" s="20"/>
      <c r="H56" s="20"/>
      <c r="I56" s="20"/>
      <c r="J56" s="20"/>
      <c r="K56" s="33">
        <v>51.0</v>
      </c>
      <c r="L56" s="17" t="s">
        <v>304</v>
      </c>
      <c r="M56" s="17">
        <v>-7.5550907</v>
      </c>
      <c r="N56" s="17">
        <v>110.8551854</v>
      </c>
      <c r="O56" s="20"/>
      <c r="P56" s="33">
        <v>51.0</v>
      </c>
      <c r="Q56" s="13" t="s">
        <v>513</v>
      </c>
      <c r="R56" s="25">
        <v>-7.56607199999999</v>
      </c>
      <c r="S56" s="25">
        <v>110.87161</v>
      </c>
      <c r="T56" s="20"/>
      <c r="U56" s="33">
        <v>51.0</v>
      </c>
      <c r="V56" s="17" t="s">
        <v>364</v>
      </c>
      <c r="W56" s="17">
        <v>-7.60320379999999</v>
      </c>
      <c r="X56" s="17">
        <v>110.8647059</v>
      </c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</row>
    <row r="57">
      <c r="A57" s="33">
        <v>52.0</v>
      </c>
      <c r="B57" s="17" t="s">
        <v>256</v>
      </c>
      <c r="C57" s="17">
        <v>-7.54998209999999</v>
      </c>
      <c r="D57" s="17">
        <v>110.7494964</v>
      </c>
      <c r="E57" s="20"/>
      <c r="F57" s="20"/>
      <c r="G57" s="20"/>
      <c r="H57" s="20"/>
      <c r="I57" s="20"/>
      <c r="J57" s="20"/>
      <c r="K57" s="33">
        <v>52.0</v>
      </c>
      <c r="L57" s="17" t="s">
        <v>207</v>
      </c>
      <c r="M57" s="17">
        <v>-7.55431</v>
      </c>
      <c r="N57" s="17">
        <v>110.85663</v>
      </c>
      <c r="O57" s="20"/>
      <c r="T57" s="20"/>
      <c r="U57" s="33">
        <v>52.0</v>
      </c>
      <c r="V57" s="17" t="s">
        <v>365</v>
      </c>
      <c r="W57" s="17">
        <v>-7.6029344</v>
      </c>
      <c r="X57" s="17">
        <v>110.8690774</v>
      </c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</row>
    <row r="58">
      <c r="A58" s="33">
        <v>53.0</v>
      </c>
      <c r="B58" s="17" t="s">
        <v>257</v>
      </c>
      <c r="C58" s="17">
        <v>-7.548608</v>
      </c>
      <c r="D58" s="17">
        <v>110.743229</v>
      </c>
      <c r="E58" s="17"/>
      <c r="F58" s="20"/>
      <c r="G58" s="20"/>
      <c r="H58" s="20"/>
      <c r="I58" s="20"/>
      <c r="J58" s="20"/>
      <c r="K58" s="33">
        <v>53.0</v>
      </c>
      <c r="L58" s="17" t="s">
        <v>208</v>
      </c>
      <c r="M58" s="17">
        <v>-7.55686219999999</v>
      </c>
      <c r="N58" s="17">
        <v>110.860724</v>
      </c>
      <c r="O58" s="20"/>
      <c r="P58" s="20"/>
      <c r="Q58" s="20"/>
      <c r="R58" s="20"/>
      <c r="U58" s="2">
        <v>53.0</v>
      </c>
      <c r="V58" s="17" t="s">
        <v>366</v>
      </c>
      <c r="W58" s="17">
        <v>-7.60688609999999</v>
      </c>
      <c r="X58" s="17">
        <v>110.8703243</v>
      </c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</row>
    <row r="59">
      <c r="A59" s="33">
        <v>54.0</v>
      </c>
      <c r="B59" s="17" t="s">
        <v>258</v>
      </c>
      <c r="C59" s="20">
        <v>-7.6328274</v>
      </c>
      <c r="D59" s="20">
        <v>110.8274962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33">
        <v>54.0</v>
      </c>
      <c r="V59" s="17" t="s">
        <v>367</v>
      </c>
      <c r="W59" s="17">
        <v>-7.60962</v>
      </c>
      <c r="X59" s="17">
        <v>110.87394</v>
      </c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</row>
    <row r="60">
      <c r="A60" s="33">
        <v>55.0</v>
      </c>
      <c r="B60" s="17" t="s">
        <v>182</v>
      </c>
      <c r="C60" s="17">
        <v>-7.546158</v>
      </c>
      <c r="D60" s="17">
        <v>110.742928</v>
      </c>
      <c r="E60" s="17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33">
        <v>55.0</v>
      </c>
      <c r="V60" s="17" t="s">
        <v>368</v>
      </c>
      <c r="W60" s="17">
        <v>-7.6232169</v>
      </c>
      <c r="X60" s="17">
        <v>110.8792447</v>
      </c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</row>
    <row r="61">
      <c r="A61" s="33">
        <v>56.0</v>
      </c>
      <c r="B61" s="17" t="s">
        <v>183</v>
      </c>
      <c r="C61" s="17">
        <v>-7.543914</v>
      </c>
      <c r="D61" s="17">
        <v>110.73507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33">
        <v>56.0</v>
      </c>
      <c r="V61" s="17" t="s">
        <v>369</v>
      </c>
      <c r="W61" s="17">
        <v>-7.61143999999999</v>
      </c>
      <c r="X61" s="17">
        <v>110.88542</v>
      </c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</row>
    <row r="62">
      <c r="A62" s="33">
        <v>57.0</v>
      </c>
      <c r="B62" s="17" t="s">
        <v>184</v>
      </c>
      <c r="C62" s="20">
        <v>-7.5775936</v>
      </c>
      <c r="D62" s="20">
        <v>110.7833098</v>
      </c>
      <c r="E62" s="17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33">
        <v>57.0</v>
      </c>
      <c r="V62" s="17" t="s">
        <v>370</v>
      </c>
      <c r="W62" s="17">
        <v>-7.6128501</v>
      </c>
      <c r="X62" s="17">
        <v>110.8891529</v>
      </c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</row>
    <row r="63">
      <c r="A63" s="33">
        <v>58.0</v>
      </c>
      <c r="B63" s="17" t="s">
        <v>185</v>
      </c>
      <c r="C63" s="17">
        <v>-7.53789</v>
      </c>
      <c r="D63" s="17">
        <v>110.74588</v>
      </c>
      <c r="E63" s="17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33">
        <v>58.0</v>
      </c>
      <c r="V63" s="17" t="s">
        <v>371</v>
      </c>
      <c r="W63" s="17">
        <v>-7.61365999999999</v>
      </c>
      <c r="X63" s="17">
        <v>110.89172</v>
      </c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</row>
    <row r="64">
      <c r="A64" s="33">
        <v>59.0</v>
      </c>
      <c r="B64" s="17" t="s">
        <v>186</v>
      </c>
      <c r="C64" s="17">
        <v>-7.534611</v>
      </c>
      <c r="D64" s="17">
        <v>110.746722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</row>
    <row r="65">
      <c r="A65" s="33">
        <v>60.0</v>
      </c>
      <c r="B65" s="17" t="s">
        <v>187</v>
      </c>
      <c r="C65" s="17">
        <v>-7.530962</v>
      </c>
      <c r="D65" s="17">
        <v>110.747637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</row>
    <row r="66">
      <c r="A66" s="33">
        <v>61.0</v>
      </c>
      <c r="B66" s="17" t="s">
        <v>259</v>
      </c>
      <c r="C66" s="17">
        <v>-7.527551</v>
      </c>
      <c r="D66" s="17">
        <v>110.74815</v>
      </c>
      <c r="E66" s="17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</row>
    <row r="67">
      <c r="A67" s="33">
        <v>62.0</v>
      </c>
      <c r="B67" s="17" t="s">
        <v>260</v>
      </c>
      <c r="C67" s="17">
        <v>-7.55208</v>
      </c>
      <c r="D67" s="17">
        <v>110.74633</v>
      </c>
      <c r="E67" s="17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</row>
    <row r="68">
      <c r="A68" s="33">
        <v>63.0</v>
      </c>
      <c r="B68" s="17" t="s">
        <v>261</v>
      </c>
      <c r="C68" s="17">
        <v>-7.512383</v>
      </c>
      <c r="D68" s="17">
        <v>110.74553</v>
      </c>
      <c r="E68" s="17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</row>
    <row r="69">
      <c r="A69" s="33">
        <v>64.0</v>
      </c>
      <c r="B69" s="17" t="s">
        <v>262</v>
      </c>
      <c r="C69" s="20">
        <v>-7.5054722</v>
      </c>
      <c r="D69" s="20">
        <v>110.7477598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</row>
    <row r="70" hidden="1">
      <c r="A70" s="33"/>
      <c r="B70" s="17"/>
      <c r="C70" s="17"/>
      <c r="D70" s="17"/>
      <c r="E70" s="17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</row>
    <row r="71" hidden="1">
      <c r="A71" s="33"/>
      <c r="B71" s="17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</row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</sheetData>
  <mergeCells count="11">
    <mergeCell ref="AE5:AF5"/>
    <mergeCell ref="AJ5:AK5"/>
    <mergeCell ref="AO5:AP5"/>
    <mergeCell ref="AT5:AU5"/>
    <mergeCell ref="A2:AW3"/>
    <mergeCell ref="A5:B5"/>
    <mergeCell ref="F5:G5"/>
    <mergeCell ref="K5:L5"/>
    <mergeCell ref="P5:Q5"/>
    <mergeCell ref="U5:V5"/>
    <mergeCell ref="Z5:AA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8.38"/>
    <col customWidth="1" min="6" max="6" width="21.5"/>
    <col customWidth="1" min="10" max="10" width="20.13"/>
    <col customWidth="1" min="14" max="14" width="22.75"/>
    <col customWidth="1" min="18" max="18" width="19.63"/>
    <col customWidth="1" min="22" max="22" width="24.75"/>
    <col customWidth="1" min="26" max="26" width="26.38"/>
    <col customWidth="1" min="30" max="30" width="20.25"/>
    <col customWidth="1" min="34" max="34" width="22.13"/>
    <col customWidth="1" min="38" max="38" width="19.63"/>
  </cols>
  <sheetData>
    <row r="1">
      <c r="AA1" s="2" t="s">
        <v>38</v>
      </c>
      <c r="AB1" s="2" t="s">
        <v>39</v>
      </c>
      <c r="AC1" s="2"/>
      <c r="AD1" s="2"/>
      <c r="AE1" s="2"/>
      <c r="AF1" s="2"/>
      <c r="AG1" s="2"/>
      <c r="AH1" s="2"/>
      <c r="AI1" s="2"/>
      <c r="AJ1" s="2"/>
      <c r="AK1" s="2"/>
      <c r="AN1" s="2"/>
    </row>
    <row r="2">
      <c r="A2" s="2" t="s">
        <v>526</v>
      </c>
      <c r="F2" s="2" t="s">
        <v>16</v>
      </c>
      <c r="J2" s="2" t="s">
        <v>20</v>
      </c>
      <c r="N2" s="2" t="s">
        <v>24</v>
      </c>
      <c r="R2" s="2" t="s">
        <v>30</v>
      </c>
      <c r="V2" s="2" t="s">
        <v>35</v>
      </c>
      <c r="Z2" s="2" t="s">
        <v>40</v>
      </c>
      <c r="AD2" s="2" t="s">
        <v>45</v>
      </c>
      <c r="AH2" s="2" t="s">
        <v>50</v>
      </c>
      <c r="AI2" s="2"/>
      <c r="AL2" s="2" t="s">
        <v>53</v>
      </c>
      <c r="AM2" s="2"/>
      <c r="AN2" s="2"/>
    </row>
    <row r="3">
      <c r="A3" s="3" t="s">
        <v>10</v>
      </c>
      <c r="B3" s="3" t="s">
        <v>11</v>
      </c>
      <c r="F3" s="3" t="s">
        <v>14</v>
      </c>
      <c r="G3" s="3" t="s">
        <v>15</v>
      </c>
      <c r="J3" s="3" t="s">
        <v>18</v>
      </c>
      <c r="K3" s="3" t="s">
        <v>19</v>
      </c>
      <c r="N3" s="3" t="s">
        <v>21</v>
      </c>
      <c r="O3" s="3" t="s">
        <v>23</v>
      </c>
      <c r="R3" s="3" t="s">
        <v>28</v>
      </c>
      <c r="S3" s="3" t="s">
        <v>29</v>
      </c>
      <c r="V3" s="3" t="s">
        <v>33</v>
      </c>
      <c r="W3" s="3" t="s">
        <v>34</v>
      </c>
      <c r="Z3" s="3" t="s">
        <v>38</v>
      </c>
      <c r="AA3" s="3" t="s">
        <v>39</v>
      </c>
      <c r="AB3" s="2"/>
      <c r="AD3" s="3" t="s">
        <v>43</v>
      </c>
      <c r="AE3" s="3" t="s">
        <v>44</v>
      </c>
      <c r="AH3" s="3" t="s">
        <v>48</v>
      </c>
      <c r="AI3" s="3" t="s">
        <v>49</v>
      </c>
      <c r="AJ3" s="2"/>
      <c r="AK3" s="2"/>
      <c r="AL3" s="3" t="s">
        <v>25</v>
      </c>
      <c r="AM3" s="3" t="s">
        <v>52</v>
      </c>
      <c r="AN3" s="3"/>
    </row>
    <row r="4">
      <c r="B4" s="2" t="s">
        <v>537</v>
      </c>
      <c r="C4" s="2" t="s">
        <v>538</v>
      </c>
      <c r="G4" s="2" t="s">
        <v>537</v>
      </c>
      <c r="H4" s="2" t="s">
        <v>538</v>
      </c>
      <c r="K4" s="2" t="s">
        <v>539</v>
      </c>
      <c r="L4" s="2" t="s">
        <v>538</v>
      </c>
      <c r="O4" s="2" t="s">
        <v>539</v>
      </c>
      <c r="P4" s="2" t="s">
        <v>538</v>
      </c>
      <c r="S4" s="2" t="s">
        <v>537</v>
      </c>
      <c r="T4" s="2" t="s">
        <v>538</v>
      </c>
      <c r="W4" s="2" t="s">
        <v>537</v>
      </c>
      <c r="X4" s="2" t="s">
        <v>538</v>
      </c>
      <c r="AA4" s="2" t="s">
        <v>537</v>
      </c>
      <c r="AB4" s="2" t="s">
        <v>538</v>
      </c>
      <c r="AE4" s="2" t="s">
        <v>537</v>
      </c>
      <c r="AF4" s="2" t="s">
        <v>538</v>
      </c>
      <c r="AG4" s="2"/>
      <c r="AI4" s="2" t="s">
        <v>537</v>
      </c>
      <c r="AJ4" s="2" t="s">
        <v>538</v>
      </c>
      <c r="AM4" s="2" t="s">
        <v>537</v>
      </c>
      <c r="AN4" s="2" t="s">
        <v>538</v>
      </c>
    </row>
    <row r="5">
      <c r="A5" s="92" t="s">
        <v>540</v>
      </c>
      <c r="B5" s="92" t="str">
        <f>IFERROR(__xludf.DUMMYFUNCTION("IMPORTXML(""https://nominatim.openstreetmap.org/search?q=""&amp;SUBSTITUTE($A5,"" "",""+"")&amp;""+Solo&amp;format=xml&amp;limit=1"",""//place/@lat"")"),"Loading...")</f>
        <v>Loading...</v>
      </c>
      <c r="C5" s="92" t="str">
        <f>IFERROR(__xludf.DUMMYFUNCTION("IMPORTXML(""https://nominatim.openstreetmap.org/search?q=""&amp;SUBSTITUTE($A5,"" "",""+"")&amp;""+Solo&amp;format=xml&amp;limit=1"",""//place/@lon"")"),"Loading...")</f>
        <v>Loading...</v>
      </c>
      <c r="F5" s="2" t="s">
        <v>8</v>
      </c>
      <c r="G5" s="92" t="str">
        <f>IFERROR(__xludf.DUMMYFUNCTION("IMPORTXML(""https://nominatim.openstreetmap.org/search?q=""&amp;SUBSTITUTE($F5,"" "",""+"")&amp;""+Solo&amp;format=xml&amp;limit=1"",""//place/@lat"")"),"Loading...")</f>
        <v>Loading...</v>
      </c>
      <c r="H5" s="92" t="str">
        <f>IFERROR(__xludf.DUMMYFUNCTION("IMPORTXML(""https://nominatim.openstreetmap.org/search?q=""&amp;SUBSTITUTE($F5,"" "",""+"")&amp;""+Solo&amp;format=xml&amp;limit=1"",""//place/@lon"")"),"Loading...")</f>
        <v>Loading...</v>
      </c>
      <c r="J5" s="2" t="s">
        <v>505</v>
      </c>
      <c r="K5" s="92" t="str">
        <f>IFERROR(__xludf.DUMMYFUNCTION("IMPORTXML(""https://nominatim.openstreetmap.org/search?q=""&amp;SUBSTITUTE($J5,"" "",""+"")&amp;""+Kartasura&amp;format=xml&amp;limit=1"",""//place/@lat"")"),"Loading...")</f>
        <v>Loading...</v>
      </c>
      <c r="L5" s="92" t="str">
        <f>IFERROR(__xludf.DUMMYFUNCTION("IMPORTXML(""https://nominatim.openstreetmap.org/search?q=""&amp;SUBSTITUTE($J5,"" "",""+"")&amp;""+Kartasura&amp;format=xml&amp;limit=1"",""//place/@lon"")"),"Loading...")</f>
        <v>Loading...</v>
      </c>
      <c r="N5" s="2" t="s">
        <v>183</v>
      </c>
      <c r="O5" s="92" t="str">
        <f>IFERROR(__xludf.DUMMYFUNCTION("IMPORTXML(""https://nominatim.openstreetmap.org/search?q=""&amp;SUBSTITUTE($N5,"" "",""+"")&amp;""&amp;format=xml&amp;limit=1"",""//place/@lat"")"),"Loading...")</f>
        <v>Loading...</v>
      </c>
      <c r="P5" s="92" t="str">
        <f>IFERROR(__xludf.DUMMYFUNCTION("IMPORTXML(""https://nominatim.openstreetmap.org/search?q=""&amp;SUBSTITUTE($N5,"" "",""+"")&amp;""&amp;format=xml&amp;limit=1"",""//place/@lon"")"),"Loading...")</f>
        <v>Loading...</v>
      </c>
      <c r="R5" s="2" t="s">
        <v>541</v>
      </c>
      <c r="S5" s="92" t="str">
        <f>IFERROR(__xludf.DUMMYFUNCTION("IMPORTXML(""https://nominatim.openstreetmap.org/search?q=""&amp;SUBSTITUTE($R5,"" "",""+"")&amp;""+Solo&amp;format=xml&amp;limit=1"",""//place/@lat"")"),"#N/A")</f>
        <v>#N/A</v>
      </c>
      <c r="T5" s="92" t="str">
        <f>IFERROR(__xludf.DUMMYFUNCTION("IMPORTXML(""https://nominatim.openstreetmap.org/search?q=""&amp;SUBSTITUTE($R5,"" "",""+"")&amp;""+Solo&amp;format=xml&amp;limit=1"",""//place/@lon"")"),"Loading...")</f>
        <v>Loading...</v>
      </c>
      <c r="V5" s="2" t="s">
        <v>542</v>
      </c>
      <c r="W5" s="92" t="str">
        <f>IFERROR(__xludf.DUMMYFUNCTION("IMPORTXML(""https://nominatim.openstreetmap.org/search?q=""&amp;SUBSTITUTE($V5,"" "",""+"")&amp;""+Solo&amp;format=xml&amp;limit=1"",""//place/@lat"")"),"Loading...")</f>
        <v>Loading...</v>
      </c>
      <c r="X5" s="92" t="str">
        <f>IFERROR(__xludf.DUMMYFUNCTION("IMPORTXML(""https://nominatim.openstreetmap.org/search?q=""&amp;SUBSTITUTE($V5,"" "",""+"")&amp;""+Solo&amp;format=xml&amp;limit=1"",""//place/@lon"")"),"Loading...")</f>
        <v>Loading...</v>
      </c>
      <c r="Z5" s="2" t="s">
        <v>372</v>
      </c>
      <c r="AA5" s="92" t="str">
        <f>IFERROR(__xludf.DUMMYFUNCTION("IMPORTXML(""https://nominatim.openstreetmap.org/search?q=""&amp;SUBSTITUTE($Z5,"" "",""+"")&amp;""+Solo&amp;format=xml&amp;limit=1"",""//place/@lat"")"),"Loading...")</f>
        <v>Loading...</v>
      </c>
      <c r="AB5" s="92" t="str">
        <f>IFERROR(__xludf.DUMMYFUNCTION("IMPORTXML(""https://nominatim.openstreetmap.org/search?q=""&amp;SUBSTITUTE($Z5,"" "",""+"")&amp;""+Solo&amp;format=xml&amp;limit=1"",""//place/@lon"")"),"#N/A")</f>
        <v>#N/A</v>
      </c>
      <c r="AD5" s="2" t="s">
        <v>413</v>
      </c>
      <c r="AE5" s="92" t="str">
        <f>IFERROR(__xludf.DUMMYFUNCTION("IMPORTXML(""https://nominatim.openstreetmap.org/search?q=""&amp;SUBSTITUTE($AD5,"" "",""+"")&amp;""+Solo&amp;format=xml&amp;limit=1"",""//place/@lat"")"),"Loading...")</f>
        <v>Loading...</v>
      </c>
      <c r="AF5" s="92" t="str">
        <f>IFERROR(__xludf.DUMMYFUNCTION("IMPORTXML(""https://nominatim.openstreetmap.org/search?q=""&amp;SUBSTITUTE($AD5,"" "",""+"")&amp;""+Solo&amp;format=xml&amp;limit=1"",""//place/@lon"")"),"#N/A")</f>
        <v>#N/A</v>
      </c>
      <c r="AH5" s="2" t="s">
        <v>543</v>
      </c>
      <c r="AI5" s="92" t="str">
        <f>IFERROR(__xludf.DUMMYFUNCTION("IMPORTXML(""https://nominatim.openstreetmap.org/search?q=""&amp;SUBSTITUTE($AH5,"" "",""+"")&amp;""+Solo&amp;format=xml&amp;limit=1"",""//place/@lat"")"),"#N/A")</f>
        <v>#N/A</v>
      </c>
      <c r="AJ5" s="92" t="str">
        <f>IFERROR(__xludf.DUMMYFUNCTION("IMPORTXML(""https://nominatim.openstreetmap.org/search?q=""&amp;SUBSTITUTE($AH5,"" "",""+"")&amp;""+Solo&amp;format=xml&amp;limit=1"",""//place/@lon"")"),"Loading...")</f>
        <v>Loading...</v>
      </c>
      <c r="AL5" s="2" t="s">
        <v>543</v>
      </c>
      <c r="AM5" s="92" t="str">
        <f>IFERROR(__xludf.DUMMYFUNCTION("IMPORTXML(""https://nominatim.openstreetmap.org/search?q=""&amp;SUBSTITUTE($AL5,"" "",""+"")&amp;""+Solo&amp;format=xml&amp;limit=1"",""//place/@lat"")"),"#N/A")</f>
        <v>#N/A</v>
      </c>
      <c r="AN5" s="2" t="str">
        <f>IFERROR(__xludf.DUMMYFUNCTION("IMPORTXML(""https://nominatim.openstreetmap.org/search?q=""&amp;SUBSTITUTE($AL5,"" "",""+"")&amp;""+Solo&amp;format=xml&amp;limit=1"",""//place/@lon"")"),"Loading...")</f>
        <v>Loading...</v>
      </c>
    </row>
    <row r="6">
      <c r="A6" s="92" t="s">
        <v>544</v>
      </c>
      <c r="B6" s="92" t="str">
        <f>IFERROR(__xludf.DUMMYFUNCTION("IMPORTXML(""https://nominatim.openstreetmap.org/search?q=""&amp;SUBSTITUTE($A6,"" "",""+"")&amp;""+Solo&amp;format=xml&amp;limit=1"",""//place/@lat"")"),"Loading...")</f>
        <v>Loading...</v>
      </c>
      <c r="C6" s="92" t="str">
        <f>IFERROR(__xludf.DUMMYFUNCTION("IMPORTXML(""https://nominatim.openstreetmap.org/search?q=""&amp;SUBSTITUTE($A6,"" "",""+"")&amp;""+Solo&amp;format=xml&amp;limit=1"",""//place/@lon"")"),"#N/A")</f>
        <v>#N/A</v>
      </c>
      <c r="F6" s="2" t="s">
        <v>545</v>
      </c>
      <c r="G6" s="92" t="str">
        <f>IFERROR(__xludf.DUMMYFUNCTION("IMPORTXML(""https://nominatim.openstreetmap.org/search?q=""&amp;SUBSTITUTE($F6,"" "",""+"")&amp;""+Solo&amp;format=xml&amp;limit=1"",""//place/@lat"")"),"#N/A")</f>
        <v>#N/A</v>
      </c>
      <c r="H6" s="92" t="str">
        <f>IFERROR(__xludf.DUMMYFUNCTION("IMPORTXML(""https://nominatim.openstreetmap.org/search?q=""&amp;SUBSTITUTE($F6,"" "",""+"")&amp;""+Solo&amp;format=xml&amp;limit=1"",""//place/@lon"")"),"Loading...")</f>
        <v>Loading...</v>
      </c>
      <c r="J6" s="2" t="s">
        <v>279</v>
      </c>
      <c r="K6" s="92" t="str">
        <f>IFERROR(__xludf.DUMMYFUNCTION("IMPORTXML(""https://nominatim.openstreetmap.org/search?q=""&amp;SUBSTITUTE($J6,"" "",""+"")&amp;""&amp;format=xml&amp;limit=1"",""//place/@lat"")"),"Loading...")</f>
        <v>Loading...</v>
      </c>
      <c r="L6" s="92" t="str">
        <f>IFERROR(__xludf.DUMMYFUNCTION("IMPORTXML(""https://nominatim.openstreetmap.org/search?q=""&amp;SUBSTITUTE($J6,"" "",""+"")&amp;""&amp;format=xml&amp;limit=1"",""//place/@lon"")"),"#N/A")</f>
        <v>#N/A</v>
      </c>
      <c r="N6" s="2" t="s">
        <v>546</v>
      </c>
      <c r="O6" s="92" t="str">
        <f>IFERROR(__xludf.DUMMYFUNCTION("IMPORTXML(""https://nominatim.openstreetmap.org/search?q=""&amp;SUBSTITUTE($N6,"" "",""+"")&amp;""&amp;format=xml&amp;limit=1"",""//place/@lat"")"),"Loading...")</f>
        <v>Loading...</v>
      </c>
      <c r="P6" s="92">
        <f>IFERROR(__xludf.DUMMYFUNCTION("IMPORTXML(""https://nominatim.openstreetmap.org/search?q=""&amp;SUBSTITUTE($N6,"" "",""+"")&amp;""&amp;format=xml&amp;limit=1"",""//place/@lon"")"),110.7432208)</f>
        <v>110.7432208</v>
      </c>
      <c r="R6" s="2" t="s">
        <v>547</v>
      </c>
      <c r="S6" s="92" t="str">
        <f>IFERROR(__xludf.DUMMYFUNCTION("IMPORTXML(""https://nominatim.openstreetmap.org/search?q=""&amp;SUBSTITUTE($R6,"" "",""+"")&amp;""+Solo&amp;format=xml&amp;limit=1"",""//place/@lat"")"),"#N/A")</f>
        <v>#N/A</v>
      </c>
      <c r="T6" s="92" t="str">
        <f>IFERROR(__xludf.DUMMYFUNCTION("IMPORTXML(""https://nominatim.openstreetmap.org/search?q=""&amp;SUBSTITUTE($R6,"" "",""+"")&amp;""+Solo&amp;format=xml&amp;limit=1"",""//place/@lon"")"),"Loading...")</f>
        <v>Loading...</v>
      </c>
      <c r="V6" s="2" t="s">
        <v>548</v>
      </c>
      <c r="W6" s="92" t="str">
        <f>IFERROR(__xludf.DUMMYFUNCTION("IMPORTXML(""https://nominatim.openstreetmap.org/search?q=""&amp;SUBSTITUTE($V6,"" "",""+"")&amp;""+Solo&amp;format=xml&amp;limit=1"",""//place/@lat"")"),"Loading...")</f>
        <v>Loading...</v>
      </c>
      <c r="X6" s="92">
        <f>IFERROR(__xludf.DUMMYFUNCTION("IMPORTXML(""https://nominatim.openstreetmap.org/search?q=""&amp;SUBSTITUTE($V6,"" "",""+"")&amp;""+Solo&amp;format=xml&amp;limit=1"",""//place/@lon"")"),110.8299208)</f>
        <v>110.8299208</v>
      </c>
      <c r="Z6" s="2" t="s">
        <v>549</v>
      </c>
      <c r="AA6" s="92" t="str">
        <f>IFERROR(__xludf.DUMMYFUNCTION("IMPORTXML(""https://nominatim.openstreetmap.org/search?q=""&amp;SUBSTITUTE($Z6,"" "",""+"")&amp;""+Solo&amp;format=xml&amp;limit=1"",""//place/@lat"")"),"Loading...")</f>
        <v>Loading...</v>
      </c>
      <c r="AB6" s="92" t="str">
        <f>IFERROR(__xludf.DUMMYFUNCTION("IMPORTXML(""https://nominatim.openstreetmap.org/search?q=""&amp;SUBSTITUTE($Z6,"" "",""+"")&amp;""+Solo&amp;format=xml&amp;limit=1"",""//place/@lon"")"),"#N/A")</f>
        <v>#N/A</v>
      </c>
      <c r="AD6" s="2" t="s">
        <v>414</v>
      </c>
      <c r="AE6" s="92" t="str">
        <f>IFERROR(__xludf.DUMMYFUNCTION("IMPORTXML(""https://nominatim.openstreetmap.org/search?q=""&amp;SUBSTITUTE($AD6,"" "",""+"")&amp;""+Solo&amp;format=xml&amp;limit=1"",""//place/@lat"")"),"#N/A")</f>
        <v>#N/A</v>
      </c>
      <c r="AF6" s="92" t="str">
        <f>IFERROR(__xludf.DUMMYFUNCTION("IMPORTXML(""https://nominatim.openstreetmap.org/search?q=""&amp;SUBSTITUTE($AD6,"" "",""+"")&amp;""+Solo&amp;format=xml&amp;limit=1"",""//place/@lon"")"),"Loading...")</f>
        <v>Loading...</v>
      </c>
      <c r="AH6" s="2" t="s">
        <v>225</v>
      </c>
      <c r="AI6" s="92" t="str">
        <f>IFERROR(__xludf.DUMMYFUNCTION("IMPORTXML(""https://nominatim.openstreetmap.org/search?q=""&amp;SUBSTITUTE($AH6,"" "",""+"")&amp;""+Solo&amp;format=xml&amp;limit=1"",""//place/@lat"")"),"#N/A")</f>
        <v>#N/A</v>
      </c>
      <c r="AJ6" s="92" t="str">
        <f>IFERROR(__xludf.DUMMYFUNCTION("IMPORTXML(""https://nominatim.openstreetmap.org/search?q=""&amp;SUBSTITUTE($AH6,"" "",""+"")&amp;""+Solo&amp;format=xml&amp;limit=1"",""//place/@lon"")"),"Loading...")</f>
        <v>Loading...</v>
      </c>
      <c r="AL6" s="2" t="s">
        <v>225</v>
      </c>
      <c r="AM6" s="92" t="str">
        <f>IFERROR(__xludf.DUMMYFUNCTION("IMPORTXML(""https://nominatim.openstreetmap.org/search?q=""&amp;SUBSTITUTE($AL6,"" "",""+"")&amp;""+Solo&amp;format=xml&amp;limit=1"",""//place/@lat"")"),"#N/A")</f>
        <v>#N/A</v>
      </c>
      <c r="AN6" s="2" t="str">
        <f>IFERROR(__xludf.DUMMYFUNCTION("IMPORTXML(""https://nominatim.openstreetmap.org/search?q=""&amp;SUBSTITUTE($AL6,"" "",""+"")&amp;""+Solo&amp;format=xml&amp;limit=1"",""//place/@lon"")"),"Loading...")</f>
        <v>Loading...</v>
      </c>
    </row>
    <row r="7">
      <c r="A7" s="92" t="s">
        <v>550</v>
      </c>
      <c r="B7" s="92" t="str">
        <f>IFERROR(__xludf.DUMMYFUNCTION("IMPORTXML(""https://nominatim.openstreetmap.org/search?q=""&amp;SUBSTITUTE($A7,"" "",""+"")&amp;""+Solo&amp;format=xml&amp;limit=1"",""//place/@lat"")"),"Loading...")</f>
        <v>Loading...</v>
      </c>
      <c r="C7" s="92" t="str">
        <f>IFERROR(__xludf.DUMMYFUNCTION("IMPORTXML(""https://nominatim.openstreetmap.org/search?q=""&amp;SUBSTITUTE($A7,"" "",""+"")&amp;""+Solo&amp;format=xml&amp;limit=1"",""//place/@lon"")"),"#N/A")</f>
        <v>#N/A</v>
      </c>
      <c r="F7" s="2" t="s">
        <v>550</v>
      </c>
      <c r="G7" s="92" t="str">
        <f>IFERROR(__xludf.DUMMYFUNCTION("IMPORTXML(""https://nominatim.openstreetmap.org/search?q=""&amp;SUBSTITUTE($F7,"" "",""+"")&amp;""+Solo&amp;format=xml&amp;limit=1"",""//place/@lat"")"),"Loading...")</f>
        <v>Loading...</v>
      </c>
      <c r="H7" s="92" t="str">
        <f>IFERROR(__xludf.DUMMYFUNCTION("IMPORTXML(""https://nominatim.openstreetmap.org/search?q=""&amp;SUBSTITUTE($F7,"" "",""+"")&amp;""+Solo&amp;format=xml&amp;limit=1"",""//place/@lon"")"),"#N/A")</f>
        <v>#N/A</v>
      </c>
      <c r="J7" s="2" t="s">
        <v>280</v>
      </c>
      <c r="K7" s="92" t="str">
        <f>IFERROR(__xludf.DUMMYFUNCTION("IMPORTXML(""https://nominatim.openstreetmap.org/search?q=""&amp;SUBSTITUTE($J7,"" "",""+"")&amp;""&amp;format=xml&amp;limit=1"",""//place/@lat"")"),"#N/A")</f>
        <v>#N/A</v>
      </c>
      <c r="L7" s="92" t="str">
        <f>IFERROR(__xludf.DUMMYFUNCTION("IMPORTXML(""https://nominatim.openstreetmap.org/search?q=""&amp;SUBSTITUTE($J7,"" "",""+"")&amp;""&amp;format=xml&amp;limit=1"",""//place/@lon"")"),"Loading...")</f>
        <v>Loading...</v>
      </c>
      <c r="N7" s="2" t="s">
        <v>184</v>
      </c>
      <c r="O7" s="92" t="str">
        <f>IFERROR(__xludf.DUMMYFUNCTION("IMPORTXML(""https://nominatim.openstreetmap.org/search?q=""&amp;SUBSTITUTE($N7,"" "",""+"")&amp;""&amp;format=xml&amp;limit=1"",""//place/@lat"")"),"#N/A")</f>
        <v>#N/A</v>
      </c>
      <c r="P7" s="92" t="str">
        <f>IFERROR(__xludf.DUMMYFUNCTION("IMPORTXML(""https://nominatim.openstreetmap.org/search?q=""&amp;SUBSTITUTE($N7,"" "",""+"")&amp;""&amp;format=xml&amp;limit=1"",""//place/@lon"")"),"Loading...")</f>
        <v>Loading...</v>
      </c>
      <c r="R7" s="2" t="s">
        <v>551</v>
      </c>
      <c r="S7" s="92" t="str">
        <f>IFERROR(__xludf.DUMMYFUNCTION("IMPORTXML(""https://nominatim.openstreetmap.org/search?q=""&amp;SUBSTITUTE($R7,"" "",""+"")&amp;""+Solo&amp;format=xml&amp;limit=1"",""//place/@lat"")"),"#N/A")</f>
        <v>#N/A</v>
      </c>
      <c r="T7" s="92" t="str">
        <f>IFERROR(__xludf.DUMMYFUNCTION("IMPORTXML(""https://nominatim.openstreetmap.org/search?q=""&amp;SUBSTITUTE($R7,"" "",""+"")&amp;""+Solo&amp;format=xml&amp;limit=1"",""//place/@lon"")"),"Loading...")</f>
        <v>Loading...</v>
      </c>
      <c r="V7" s="2" t="s">
        <v>220</v>
      </c>
      <c r="W7" s="92" t="str">
        <f>IFERROR(__xludf.DUMMYFUNCTION("IMPORTXML(""https://nominatim.openstreetmap.org/search?q=""&amp;SUBSTITUTE($V7,"" "",""+"")&amp;""+Solo&amp;format=xml&amp;limit=1"",""//place/@lat"")"),"Loading...")</f>
        <v>Loading...</v>
      </c>
      <c r="X7" s="92" t="str">
        <f>IFERROR(__xludf.DUMMYFUNCTION("IMPORTXML(""https://nominatim.openstreetmap.org/search?q=""&amp;SUBSTITUTE($V7,"" "",""+"")&amp;""+Solo&amp;format=xml&amp;limit=1"",""//place/@lon"")"),"Loading...")</f>
        <v>Loading...</v>
      </c>
      <c r="Z7" s="2" t="s">
        <v>552</v>
      </c>
      <c r="AA7" s="92" t="str">
        <f>IFERROR(__xludf.DUMMYFUNCTION("IMPORTXML(""https://nominatim.openstreetmap.org/search?q=""&amp;SUBSTITUTE($Z7,"" "",""+"")&amp;""+Solo&amp;format=xml&amp;limit=1"",""//place/@lat"")"),"#N/A")</f>
        <v>#N/A</v>
      </c>
      <c r="AB7" s="92" t="str">
        <f>IFERROR(__xludf.DUMMYFUNCTION("IMPORTXML(""https://nominatim.openstreetmap.org/search?q=""&amp;SUBSTITUTE($Z7,"" "",""+"")&amp;""+Solo&amp;format=xml&amp;limit=1"",""//place/@lon"")"),"Loading...")</f>
        <v>Loading...</v>
      </c>
      <c r="AD7" s="2" t="s">
        <v>415</v>
      </c>
      <c r="AE7" s="92" t="str">
        <f>IFERROR(__xludf.DUMMYFUNCTION("IMPORTXML(""https://nominatim.openstreetmap.org/search?q=""&amp;SUBSTITUTE($AD7,"" "",""+"")&amp;""+Solo&amp;format=xml&amp;limit=1"",""//place/@lat"")"),"Loading...")</f>
        <v>Loading...</v>
      </c>
      <c r="AF7" s="92" t="str">
        <f>IFERROR(__xludf.DUMMYFUNCTION("IMPORTXML(""https://nominatim.openstreetmap.org/search?q=""&amp;SUBSTITUTE($AD7,"" "",""+"")&amp;""+Solo&amp;format=xml&amp;limit=1"",""//place/@lon"")"),"Loading...")</f>
        <v>Loading...</v>
      </c>
      <c r="AH7" s="2" t="s">
        <v>226</v>
      </c>
      <c r="AI7" s="92" t="str">
        <f>IFERROR(__xludf.DUMMYFUNCTION("IMPORTXML(""https://nominatim.openstreetmap.org/search?q=""&amp;SUBSTITUTE($AH7,"" "",""+"")&amp;""+Solo&amp;format=xml&amp;limit=1"",""//place/@lat"")"),"Loading...")</f>
        <v>Loading...</v>
      </c>
      <c r="AJ7" s="92" t="str">
        <f>IFERROR(__xludf.DUMMYFUNCTION("IMPORTXML(""https://nominatim.openstreetmap.org/search?q=""&amp;SUBSTITUTE($AH7,"" "",""+"")&amp;""+Solo&amp;format=xml&amp;limit=1"",""//place/@lon"")"),"Loading...")</f>
        <v>Loading...</v>
      </c>
      <c r="AL7" s="2" t="s">
        <v>463</v>
      </c>
      <c r="AM7" s="92" t="str">
        <f>IFERROR(__xludf.DUMMYFUNCTION("IMPORTXML(""https://nominatim.openstreetmap.org/search?q=""&amp;SUBSTITUTE($AL7,"" "",""+"")&amp;""+Solo&amp;format=xml&amp;limit=1"",""//place/@lat"")"),"Loading...")</f>
        <v>Loading...</v>
      </c>
      <c r="AN7" s="2" t="str">
        <f>IFERROR(__xludf.DUMMYFUNCTION("IMPORTXML(""https://nominatim.openstreetmap.org/search?q=""&amp;SUBSTITUTE($AL7,"" "",""+"")&amp;""+Solo&amp;format=xml&amp;limit=1"",""//place/@lon"")"),"Loading...")</f>
        <v>Loading...</v>
      </c>
    </row>
    <row r="8">
      <c r="A8" s="92" t="s">
        <v>58</v>
      </c>
      <c r="B8" s="92" t="str">
        <f>IFERROR(__xludf.DUMMYFUNCTION("IMPORTXML(""https://nominatim.openstreetmap.org/search?q=""&amp;SUBSTITUTE($A8,"" "",""+"")&amp;""+Solo&amp;format=xml&amp;limit=1"",""//place/@lat"")"),"Loading...")</f>
        <v>Loading...</v>
      </c>
      <c r="C8" s="92">
        <f>IFERROR(__xludf.DUMMYFUNCTION("IMPORTXML(""https://nominatim.openstreetmap.org/search?q=""&amp;SUBSTITUTE($A8,"" "",""+"")&amp;""+Solo&amp;format=xml&amp;limit=1"",""//place/@lon"")"),110.8692467)</f>
        <v>110.8692467</v>
      </c>
      <c r="F8" s="2" t="s">
        <v>553</v>
      </c>
      <c r="G8" s="92" t="str">
        <f>IFERROR(__xludf.DUMMYFUNCTION("IMPORTXML(""https://nominatim.openstreetmap.org/search?q=""&amp;SUBSTITUTE($F8,"" "",""+"")&amp;""+Solo&amp;format=xml&amp;limit=1"",""//place/@lat"")"),"#N/A")</f>
        <v>#N/A</v>
      </c>
      <c r="H8" s="92" t="str">
        <f>IFERROR(__xludf.DUMMYFUNCTION("IMPORTXML(""https://nominatim.openstreetmap.org/search?q=""&amp;SUBSTITUTE($F8,"" "",""+"")&amp;""+Solo&amp;format=xml&amp;limit=1"",""//place/@lon"")"),"Loading...")</f>
        <v>Loading...</v>
      </c>
      <c r="J8" s="2" t="s">
        <v>281</v>
      </c>
      <c r="K8" s="92" t="str">
        <f>IFERROR(__xludf.DUMMYFUNCTION("IMPORTXML(""https://nominatim.openstreetmap.org/search?q=""&amp;SUBSTITUTE($J8,"" "",""+"")&amp;""&amp;format=xml&amp;limit=1"",""//place/@lat"")"),"Loading...")</f>
        <v>Loading...</v>
      </c>
      <c r="L8" s="92" t="str">
        <f>IFERROR(__xludf.DUMMYFUNCTION("IMPORTXML(""https://nominatim.openstreetmap.org/search?q=""&amp;SUBSTITUTE($J8,"" "",""+"")&amp;""&amp;format=xml&amp;limit=1"",""//place/@lon"")"),"Loading...")</f>
        <v>Loading...</v>
      </c>
      <c r="N8" s="2" t="s">
        <v>185</v>
      </c>
      <c r="O8" s="92" t="str">
        <f>IFERROR(__xludf.DUMMYFUNCTION("IMPORTXML(""https://nominatim.openstreetmap.org/search?q=""&amp;SUBSTITUTE($N8,"" "",""+"")&amp;""&amp;format=xml&amp;limit=1"",""//place/@lat"")"),"Loading...")</f>
        <v>Loading...</v>
      </c>
      <c r="P8" s="92" t="str">
        <f>IFERROR(__xludf.DUMMYFUNCTION("IMPORTXML(""https://nominatim.openstreetmap.org/search?q=""&amp;SUBSTITUTE($N8,"" "",""+"")&amp;""&amp;format=xml&amp;limit=1"",""//place/@lon"")"),"Loading...")</f>
        <v>Loading...</v>
      </c>
      <c r="R8" s="2" t="s">
        <v>185</v>
      </c>
      <c r="S8" s="92" t="str">
        <f>IFERROR(__xludf.DUMMYFUNCTION("IMPORTXML(""https://nominatim.openstreetmap.org/search?q=""&amp;SUBSTITUTE($R8,"" "",""+"")&amp;""+Solo&amp;format=xml&amp;limit=1"",""//place/@lat"")"),"#N/A")</f>
        <v>#N/A</v>
      </c>
      <c r="T8" s="92" t="str">
        <f>IFERROR(__xludf.DUMMYFUNCTION("IMPORTXML(""https://nominatim.openstreetmap.org/search?q=""&amp;SUBSTITUTE($R8,"" "",""+"")&amp;""+Solo&amp;format=xml&amp;limit=1"",""//place/@lon"")"),"Loading...")</f>
        <v>Loading...</v>
      </c>
      <c r="V8" s="2" t="s">
        <v>219</v>
      </c>
      <c r="W8" s="92" t="str">
        <f>IFERROR(__xludf.DUMMYFUNCTION("IMPORTXML(""https://nominatim.openstreetmap.org/search?q=""&amp;SUBSTITUTE($V8,"" "",""+"")&amp;""+Solo&amp;format=xml&amp;limit=1"",""//place/@lat"")"),"#N/A")</f>
        <v>#N/A</v>
      </c>
      <c r="X8" s="92" t="str">
        <f>IFERROR(__xludf.DUMMYFUNCTION("IMPORTXML(""https://nominatim.openstreetmap.org/search?q=""&amp;SUBSTITUTE($V8,"" "",""+"")&amp;""+Solo&amp;format=xml&amp;limit=1"",""//place/@lon"")"),"Loading...")</f>
        <v>Loading...</v>
      </c>
      <c r="Z8" s="2" t="s">
        <v>554</v>
      </c>
      <c r="AA8" s="92" t="str">
        <f>IFERROR(__xludf.DUMMYFUNCTION("IMPORTXML(""https://nominatim.openstreetmap.org/search?q=""&amp;SUBSTITUTE($Z8,"" "",""+"")&amp;""+Solo&amp;format=xml&amp;limit=1"",""//place/@lat"")"),"Loading...")</f>
        <v>Loading...</v>
      </c>
      <c r="AB8" s="92" t="str">
        <f>IFERROR(__xludf.DUMMYFUNCTION("IMPORTXML(""https://nominatim.openstreetmap.org/search?q=""&amp;SUBSTITUTE($Z8,"" "",""+"")&amp;""+Solo&amp;format=xml&amp;limit=1"",""//place/@lon"")"),"Loading...")</f>
        <v>Loading...</v>
      </c>
      <c r="AD8" s="2" t="s">
        <v>416</v>
      </c>
      <c r="AE8" s="92" t="str">
        <f>IFERROR(__xludf.DUMMYFUNCTION("IMPORTXML(""https://nominatim.openstreetmap.org/search?q=""&amp;SUBSTITUTE($AD8,"" "",""+"")&amp;""+Solo&amp;format=xml&amp;limit=1"",""//place/@lat"")"),"Loading...")</f>
        <v>Loading...</v>
      </c>
      <c r="AF8" s="92" t="str">
        <f>IFERROR(__xludf.DUMMYFUNCTION("IMPORTXML(""https://nominatim.openstreetmap.org/search?q=""&amp;SUBSTITUTE($AD8,"" "",""+"")&amp;""+Solo&amp;format=xml&amp;limit=1"",""//place/@lon"")"),"Loading...")</f>
        <v>Loading...</v>
      </c>
      <c r="AH8" s="2" t="s">
        <v>227</v>
      </c>
      <c r="AI8" s="92" t="str">
        <f>IFERROR(__xludf.DUMMYFUNCTION("IMPORTXML(""https://nominatim.openstreetmap.org/search?q=""&amp;SUBSTITUTE($AH8,"" "",""+"")&amp;""+Solo&amp;format=xml&amp;limit=1"",""//place/@lat"")"),"Loading...")</f>
        <v>Loading...</v>
      </c>
      <c r="AJ8" s="92" t="str">
        <f>IFERROR(__xludf.DUMMYFUNCTION("IMPORTXML(""https://nominatim.openstreetmap.org/search?q=""&amp;SUBSTITUTE($AH8,"" "",""+"")&amp;""+Solo&amp;format=xml&amp;limit=1"",""//place/@lon"")"),"Loading...")</f>
        <v>Loading...</v>
      </c>
      <c r="AL8" s="2" t="s">
        <v>464</v>
      </c>
      <c r="AM8" s="92" t="str">
        <f>IFERROR(__xludf.DUMMYFUNCTION("IMPORTXML(""https://nominatim.openstreetmap.org/search?q=""&amp;SUBSTITUTE($AL8,"" "",""+"")&amp;""+Solo&amp;format=xml&amp;limit=1"",""//place/@lat"")"),"Loading...")</f>
        <v>Loading...</v>
      </c>
      <c r="AN8" s="2" t="str">
        <f>IFERROR(__xludf.DUMMYFUNCTION("IMPORTXML(""https://nominatim.openstreetmap.org/search?q=""&amp;SUBSTITUTE($AL8,"" "",""+"")&amp;""+Solo&amp;format=xml&amp;limit=1"",""//place/@lon"")"),"Loading...")</f>
        <v>Loading...</v>
      </c>
    </row>
    <row r="9">
      <c r="A9" s="92" t="s">
        <v>68</v>
      </c>
      <c r="B9" s="92" t="str">
        <f>IFERROR(__xludf.DUMMYFUNCTION("IMPORTXML(""https://nominatim.openstreetmap.org/search?q=""&amp;SUBSTITUTE($A9,"" "",""+"")&amp;""+Solo&amp;format=xml&amp;limit=1"",""//place/@lat"")"),"#N/A")</f>
        <v>#N/A</v>
      </c>
      <c r="C9" s="92" t="str">
        <f>IFERROR(__xludf.DUMMYFUNCTION("IMPORTXML(""https://nominatim.openstreetmap.org/search?q=""&amp;SUBSTITUTE($A9,"" "",""+"")&amp;""+Solo&amp;format=xml&amp;limit=1"",""//place/@lon"")"),"Loading...")</f>
        <v>Loading...</v>
      </c>
      <c r="F9" s="2" t="s">
        <v>555</v>
      </c>
      <c r="G9" s="92" t="str">
        <f>IFERROR(__xludf.DUMMYFUNCTION("IMPORTXML(""https://nominatim.openstreetmap.org/search?q=""&amp;SUBSTITUTE($F9,"" "",""+"")&amp;""+Solo&amp;format=xml&amp;limit=1"",""//place/@lat"")"),"Loading...")</f>
        <v>Loading...</v>
      </c>
      <c r="H9" s="92" t="str">
        <f>IFERROR(__xludf.DUMMYFUNCTION("IMPORTXML(""https://nominatim.openstreetmap.org/search?q=""&amp;SUBSTITUTE($F9,"" "",""+"")&amp;""+Solo&amp;format=xml&amp;limit=1"",""//place/@lon"")"),"#N/A")</f>
        <v>#N/A</v>
      </c>
      <c r="J9" s="2" t="s">
        <v>282</v>
      </c>
      <c r="K9" s="92" t="str">
        <f>IFERROR(__xludf.DUMMYFUNCTION("IMPORTXML(""https://nominatim.openstreetmap.org/search?q=""&amp;SUBSTITUTE($J9,"" "",""+"")&amp;""&amp;format=xml&amp;limit=1"",""//place/@lat"")"),"Loading...")</f>
        <v>Loading...</v>
      </c>
      <c r="L9" s="92" t="str">
        <f>IFERROR(__xludf.DUMMYFUNCTION("IMPORTXML(""https://nominatim.openstreetmap.org/search?q=""&amp;SUBSTITUTE($J9,"" "",""+"")&amp;""&amp;format=xml&amp;limit=1"",""//place/@lon"")"),"Loading...")</f>
        <v>Loading...</v>
      </c>
      <c r="N9" s="2" t="s">
        <v>186</v>
      </c>
      <c r="O9" s="92" t="str">
        <f>IFERROR(__xludf.DUMMYFUNCTION("IMPORTXML(""https://nominatim.openstreetmap.org/search?q=""&amp;SUBSTITUTE($N9,"" "",""+"")&amp;""&amp;format=xml&amp;limit=1"",""//place/@lat"")"),"Loading...")</f>
        <v>Loading...</v>
      </c>
      <c r="P9" s="92" t="str">
        <f>IFERROR(__xludf.DUMMYFUNCTION("IMPORTXML(""https://nominatim.openstreetmap.org/search?q=""&amp;SUBSTITUTE($N9,"" "",""+"")&amp;""&amp;format=xml&amp;limit=1"",""//place/@lon"")"),"#N/A")</f>
        <v>#N/A</v>
      </c>
      <c r="R9" s="2" t="s">
        <v>556</v>
      </c>
      <c r="S9" s="92" t="str">
        <f>IFERROR(__xludf.DUMMYFUNCTION("IMPORTXML(""https://nominatim.openstreetmap.org/search?q=""&amp;SUBSTITUTE($R9,"" "",""+"")&amp;""+Solo&amp;format=xml&amp;limit=1"",""//place/@lat"")"),"#N/A")</f>
        <v>#N/A</v>
      </c>
      <c r="T9" s="92" t="str">
        <f>IFERROR(__xludf.DUMMYFUNCTION("IMPORTXML(""https://nominatim.openstreetmap.org/search?q=""&amp;SUBSTITUTE($R9,"" "",""+"")&amp;""+Solo&amp;format=xml&amp;limit=1"",""//place/@lon"")"),"#N/A")</f>
        <v>#N/A</v>
      </c>
      <c r="V9" s="2" t="s">
        <v>385</v>
      </c>
      <c r="W9" s="92" t="str">
        <f>IFERROR(__xludf.DUMMYFUNCTION("IMPORTXML(""https://nominatim.openstreetmap.org/search?q=""&amp;SUBSTITUTE($V9,"" "",""+"")&amp;""+Solo&amp;format=xml&amp;limit=1"",""//place/@lat"")"),"#N/A")</f>
        <v>#N/A</v>
      </c>
      <c r="X9" s="92" t="str">
        <f>IFERROR(__xludf.DUMMYFUNCTION("IMPORTXML(""https://nominatim.openstreetmap.org/search?q=""&amp;SUBSTITUTE($V9,"" "",""+"")&amp;""+Solo&amp;format=xml&amp;limit=1"",""//place/@lon"")"),"Loading...")</f>
        <v>Loading...</v>
      </c>
      <c r="Z9" s="2" t="s">
        <v>557</v>
      </c>
      <c r="AA9" s="92" t="str">
        <f>IFERROR(__xludf.DUMMYFUNCTION("IMPORTXML(""https://nominatim.openstreetmap.org/search?q=""&amp;SUBSTITUTE($Z9,"" "",""+"")&amp;""+Solo&amp;format=xml&amp;limit=1"",""//place/@lat"")"),"Loading...")</f>
        <v>Loading...</v>
      </c>
      <c r="AB9" s="92" t="str">
        <f>IFERROR(__xludf.DUMMYFUNCTION("IMPORTXML(""https://nominatim.openstreetmap.org/search?q=""&amp;SUBSTITUTE($Z9,"" "",""+"")&amp;""+Solo&amp;format=xml&amp;limit=1"",""//place/@lon"")"),"Loading...")</f>
        <v>Loading...</v>
      </c>
      <c r="AD9" s="2" t="s">
        <v>417</v>
      </c>
      <c r="AE9" s="92" t="str">
        <f>IFERROR(__xludf.DUMMYFUNCTION("IMPORTXML(""https://nominatim.openstreetmap.org/search?q=""&amp;SUBSTITUTE($AD9,"" "",""+"")&amp;""+Solo&amp;format=xml&amp;limit=1"",""//place/@lat"")"),"Loading...")</f>
        <v>Loading...</v>
      </c>
      <c r="AF9" s="92" t="str">
        <f>IFERROR(__xludf.DUMMYFUNCTION("IMPORTXML(""https://nominatim.openstreetmap.org/search?q=""&amp;SUBSTITUTE($AD9,"" "",""+"")&amp;""+Solo&amp;format=xml&amp;limit=1"",""//place/@lon"")"),"Loading...")</f>
        <v>Loading...</v>
      </c>
      <c r="AH9" s="2" t="s">
        <v>434</v>
      </c>
      <c r="AI9" s="92" t="str">
        <f>IFERROR(__xludf.DUMMYFUNCTION("IMPORTXML(""https://nominatim.openstreetmap.org/search?q=""&amp;SUBSTITUTE($AH9,"" "",""+"")&amp;""+Solo&amp;format=xml&amp;limit=1"",""//place/@lat"")"),"#N/A")</f>
        <v>#N/A</v>
      </c>
      <c r="AJ9" s="92" t="str">
        <f>IFERROR(__xludf.DUMMYFUNCTION("IMPORTXML(""https://nominatim.openstreetmap.org/search?q=""&amp;SUBSTITUTE($AH9,"" "",""+"")&amp;""+Solo&amp;format=xml&amp;limit=1"",""//place/@lon"")"),"Loading...")</f>
        <v>Loading...</v>
      </c>
      <c r="AL9" s="2" t="s">
        <v>465</v>
      </c>
      <c r="AM9" s="92" t="str">
        <f>IFERROR(__xludf.DUMMYFUNCTION("IMPORTXML(""https://nominatim.openstreetmap.org/search?q=""&amp;SUBSTITUTE($AL9,"" "",""+"")&amp;""+Solo&amp;format=xml&amp;limit=1"",""//place/@lat"")"),"#N/A")</f>
        <v>#N/A</v>
      </c>
      <c r="AN9" s="2" t="str">
        <f>IFERROR(__xludf.DUMMYFUNCTION("IMPORTXML(""https://nominatim.openstreetmap.org/search?q=""&amp;SUBSTITUTE($AL9,"" "",""+"")&amp;""+Solo&amp;format=xml&amp;limit=1"",""//place/@lon"")"),"Loading...")</f>
        <v>Loading...</v>
      </c>
    </row>
    <row r="10">
      <c r="A10" s="92" t="s">
        <v>558</v>
      </c>
      <c r="B10" s="92" t="str">
        <f>IFERROR(__xludf.DUMMYFUNCTION("IMPORTXML(""https://nominatim.openstreetmap.org/search?q=""&amp;SUBSTITUTE($A10,"" "",""+"")&amp;""+Solo&amp;format=xml&amp;limit=1"",""//place/@lat"")"),"#N/A")</f>
        <v>#N/A</v>
      </c>
      <c r="C10" s="92" t="str">
        <f>IFERROR(__xludf.DUMMYFUNCTION("IMPORTXML(""https://nominatim.openstreetmap.org/search?q=""&amp;SUBSTITUTE($A10,"" "",""+"")&amp;""+Solo&amp;format=xml&amp;limit=1"",""//place/@lon"")"),"Loading...")</f>
        <v>Loading...</v>
      </c>
      <c r="F10" s="2" t="s">
        <v>559</v>
      </c>
      <c r="G10" s="92" t="str">
        <f>IFERROR(__xludf.DUMMYFUNCTION("IMPORTXML(""https://nominatim.openstreetmap.org/search?q=""&amp;SUBSTITUTE($F10,"" "",""+"")&amp;""+Solo&amp;format=xml&amp;limit=1"",""//place/@lat"")"),"#N/A")</f>
        <v>#N/A</v>
      </c>
      <c r="H10" s="92" t="str">
        <f>IFERROR(__xludf.DUMMYFUNCTION("IMPORTXML(""https://nominatim.openstreetmap.org/search?q=""&amp;SUBSTITUTE($F10,"" "",""+"")&amp;""+Solo&amp;format=xml&amp;limit=1"",""//place/@lon"")"),"Loading...")</f>
        <v>Loading...</v>
      </c>
      <c r="J10" s="2" t="s">
        <v>283</v>
      </c>
      <c r="K10" s="92" t="str">
        <f>IFERROR(__xludf.DUMMYFUNCTION("IMPORTXML(""https://nominatim.openstreetmap.org/search?q=""&amp;SUBSTITUTE($J10,"" "",""+"")&amp;""&amp;format=xml&amp;limit=1"",""//place/@lat"")"),"#N/A")</f>
        <v>#N/A</v>
      </c>
      <c r="L10" s="92" t="str">
        <f>IFERROR(__xludf.DUMMYFUNCTION("IMPORTXML(""https://nominatim.openstreetmap.org/search?q=""&amp;SUBSTITUTE($J10,"" "",""+"")&amp;""&amp;format=xml&amp;limit=1"",""//place/@lon"")"),"#N/A")</f>
        <v>#N/A</v>
      </c>
      <c r="N10" s="2" t="s">
        <v>560</v>
      </c>
      <c r="O10" s="92" t="str">
        <f>IFERROR(__xludf.DUMMYFUNCTION("IMPORTXML(""https://nominatim.openstreetmap.org/search?q=""&amp;SUBSTITUTE($N10,"" "",""+"")&amp;""&amp;format=xml&amp;limit=1"",""//place/@lat"")"),"#N/A")</f>
        <v>#N/A</v>
      </c>
      <c r="P10" s="92" t="str">
        <f>IFERROR(__xludf.DUMMYFUNCTION("IMPORTXML(""https://nominatim.openstreetmap.org/search?q=""&amp;SUBSTITUTE($N10,"" "",""+"")&amp;""&amp;format=xml&amp;limit=1"",""//place/@lon"")"),"Loading...")</f>
        <v>Loading...</v>
      </c>
      <c r="R10" s="2" t="s">
        <v>561</v>
      </c>
      <c r="S10" s="92" t="str">
        <f>IFERROR(__xludf.DUMMYFUNCTION("IMPORTXML(""https://nominatim.openstreetmap.org/search?q=""&amp;SUBSTITUTE($R10,"" "",""+"")&amp;""+Solo&amp;format=xml&amp;limit=1"",""//place/@lat"")"),"Loading...")</f>
        <v>Loading...</v>
      </c>
      <c r="T10" s="92" t="str">
        <f>IFERROR(__xludf.DUMMYFUNCTION("IMPORTXML(""https://nominatim.openstreetmap.org/search?q=""&amp;SUBSTITUTE($R10,"" "",""+"")&amp;""+Solo&amp;format=xml&amp;limit=1"",""//place/@lon"")"),"#N/A")</f>
        <v>#N/A</v>
      </c>
      <c r="V10" s="2" t="s">
        <v>562</v>
      </c>
      <c r="W10" s="92" t="str">
        <f>IFERROR(__xludf.DUMMYFUNCTION("IMPORTXML(""https://nominatim.openstreetmap.org/search?q=""&amp;SUBSTITUTE($V10,"" "",""+"")&amp;""+Solo&amp;format=xml&amp;limit=1"",""//place/@lat"")"),"#N/A")</f>
        <v>#N/A</v>
      </c>
      <c r="X10" s="92" t="str">
        <f>IFERROR(__xludf.DUMMYFUNCTION("IMPORTXML(""https://nominatim.openstreetmap.org/search?q=""&amp;SUBSTITUTE($V10,"" "",""+"")&amp;""+Solo&amp;format=xml&amp;limit=1"",""//place/@lon"")"),"Loading...")</f>
        <v>Loading...</v>
      </c>
      <c r="Z10" s="2" t="s">
        <v>563</v>
      </c>
      <c r="AA10" s="92" t="str">
        <f>IFERROR(__xludf.DUMMYFUNCTION("IMPORTXML(""https://nominatim.openstreetmap.org/search?q=""&amp;SUBSTITUTE($Z10,"" "",""+"")&amp;""+Solo&amp;format=xml&amp;limit=1"",""//place/@lat"")"),"#N/A")</f>
        <v>#N/A</v>
      </c>
      <c r="AB10" s="92" t="str">
        <f>IFERROR(__xludf.DUMMYFUNCTION("IMPORTXML(""https://nominatim.openstreetmap.org/search?q=""&amp;SUBSTITUTE($Z10,"" "",""+"")&amp;""+Solo&amp;format=xml&amp;limit=1"",""//place/@lon"")"),"Loading...")</f>
        <v>Loading...</v>
      </c>
      <c r="AD10" s="2" t="s">
        <v>418</v>
      </c>
      <c r="AE10" s="92" t="str">
        <f>IFERROR(__xludf.DUMMYFUNCTION("IMPORTXML(""https://nominatim.openstreetmap.org/search?q=""&amp;SUBSTITUTE($AD10,"" "",""+"")&amp;""+Solo&amp;format=xml&amp;limit=1"",""//place/@lat"")"),"Loading...")</f>
        <v>Loading...</v>
      </c>
      <c r="AF10" s="92" t="str">
        <f>IFERROR(__xludf.DUMMYFUNCTION("IMPORTXML(""https://nominatim.openstreetmap.org/search?q=""&amp;SUBSTITUTE($AD10,"" "",""+"")&amp;""+Solo&amp;format=xml&amp;limit=1"",""//place/@lon"")"),"Loading...")</f>
        <v>Loading...</v>
      </c>
      <c r="AH10" s="2" t="s">
        <v>435</v>
      </c>
      <c r="AI10" s="92" t="str">
        <f>IFERROR(__xludf.DUMMYFUNCTION("IMPORTXML(""https://nominatim.openstreetmap.org/search?q=""&amp;SUBSTITUTE($AH10,"" "",""+"")&amp;""+Solo&amp;format=xml&amp;limit=1"",""//place/@lat"")"),"Loading...")</f>
        <v>Loading...</v>
      </c>
      <c r="AJ10" s="92" t="str">
        <f>IFERROR(__xludf.DUMMYFUNCTION("IMPORTXML(""https://nominatim.openstreetmap.org/search?q=""&amp;SUBSTITUTE($AH10,"" "",""+"")&amp;""+Solo&amp;format=xml&amp;limit=1"",""//place/@lon"")"),"Loading...")</f>
        <v>Loading...</v>
      </c>
      <c r="AL10" s="2" t="s">
        <v>466</v>
      </c>
      <c r="AM10" s="92" t="str">
        <f>IFERROR(__xludf.DUMMYFUNCTION("IMPORTXML(""https://nominatim.openstreetmap.org/search?q=""&amp;SUBSTITUTE($AL10,"" "",""+"")&amp;""+Solo&amp;format=xml&amp;limit=1"",""//place/@lat"")"),"Loading...")</f>
        <v>Loading...</v>
      </c>
      <c r="AN10" s="2" t="str">
        <f>IFERROR(__xludf.DUMMYFUNCTION("IMPORTXML(""https://nominatim.openstreetmap.org/search?q=""&amp;SUBSTITUTE($AL10,"" "",""+"")&amp;""+Solo&amp;format=xml&amp;limit=1"",""//place/@lon"")"),"Loading...")</f>
        <v>Loading...</v>
      </c>
    </row>
    <row r="11">
      <c r="A11" s="92" t="s">
        <v>564</v>
      </c>
      <c r="B11" s="92" t="str">
        <f>IFERROR(__xludf.DUMMYFUNCTION("IMPORTXML(""https://nominatim.openstreetmap.org/search?q=""&amp;SUBSTITUTE($A11,"" "",""+"")&amp;""+Solo&amp;format=xml&amp;limit=1"",""//place/@lat"")"),"#N/A")</f>
        <v>#N/A</v>
      </c>
      <c r="C11" s="92" t="str">
        <f>IFERROR(__xludf.DUMMYFUNCTION("IMPORTXML(""https://nominatim.openstreetmap.org/search?q=""&amp;SUBSTITUTE($A11,"" "",""+"")&amp;""+Solo&amp;format=xml&amp;limit=1"",""//place/@lon"")"),"Loading...")</f>
        <v>Loading...</v>
      </c>
      <c r="F11" s="2" t="s">
        <v>41</v>
      </c>
      <c r="G11" s="92" t="str">
        <f>IFERROR(__xludf.DUMMYFUNCTION("IMPORTXML(""https://nominatim.openstreetmap.org/search?q=""&amp;SUBSTITUTE($F11,"" "",""+"")&amp;""+Solo&amp;format=xml&amp;limit=1"",""//place/@lat"")"),"#N/A")</f>
        <v>#N/A</v>
      </c>
      <c r="H11" s="92" t="str">
        <f>IFERROR(__xludf.DUMMYFUNCTION("IMPORTXML(""https://nominatim.openstreetmap.org/search?q=""&amp;SUBSTITUTE($F11,"" "",""+"")&amp;""+Solo&amp;format=xml&amp;limit=1"",""//place/@lon"")"),"#N/A")</f>
        <v>#N/A</v>
      </c>
      <c r="J11" s="2" t="s">
        <v>284</v>
      </c>
      <c r="K11" s="92" t="str">
        <f>IFERROR(__xludf.DUMMYFUNCTION("IMPORTXML(""https://nominatim.openstreetmap.org/search?q=""&amp;SUBSTITUTE($J11,"" "",""+"")&amp;""&amp;format=xml&amp;limit=1"",""//place/@lat"")"),"#N/A")</f>
        <v>#N/A</v>
      </c>
      <c r="L11" s="92" t="str">
        <f>IFERROR(__xludf.DUMMYFUNCTION("IMPORTXML(""https://nominatim.openstreetmap.org/search?q=""&amp;SUBSTITUTE($J11,"" "",""+"")&amp;""&amp;format=xml&amp;limit=1"",""//place/@lon"")"),"Loading...")</f>
        <v>Loading...</v>
      </c>
      <c r="N11" s="2" t="s">
        <v>565</v>
      </c>
      <c r="O11" s="92" t="str">
        <f>IFERROR(__xludf.DUMMYFUNCTION("IMPORTXML(""https://nominatim.openstreetmap.org/search?q=""&amp;SUBSTITUTE($N11,"" "",""+"")&amp;""&amp;format=xml&amp;limit=1"",""//place/@lat"")"),"#N/A")</f>
        <v>#N/A</v>
      </c>
      <c r="P11" s="92" t="str">
        <f>IFERROR(__xludf.DUMMYFUNCTION("IMPORTXML(""https://nominatim.openstreetmap.org/search?q=""&amp;SUBSTITUTE($N11,"" "",""+"")&amp;""&amp;format=xml&amp;limit=1"",""//place/@lon"")"),"Loading...")</f>
        <v>Loading...</v>
      </c>
      <c r="R11" s="2" t="s">
        <v>566</v>
      </c>
      <c r="S11" s="92" t="str">
        <f>IFERROR(__xludf.DUMMYFUNCTION("IMPORTXML(""https://nominatim.openstreetmap.org/search?q=""&amp;SUBSTITUTE($R11,"" "",""+"")&amp;""+Solo&amp;format=xml&amp;limit=1"",""//place/@lat"")"),"#N/A")</f>
        <v>#N/A</v>
      </c>
      <c r="T11" s="92" t="str">
        <f>IFERROR(__xludf.DUMMYFUNCTION("IMPORTXML(""https://nominatim.openstreetmap.org/search?q=""&amp;SUBSTITUTE($R11,"" "",""+"")&amp;""+Solo&amp;format=xml&amp;limit=1"",""//place/@lon"")"),"Loading...")</f>
        <v>Loading...</v>
      </c>
      <c r="V11" s="2" t="s">
        <v>387</v>
      </c>
      <c r="W11" s="92" t="str">
        <f>IFERROR(__xludf.DUMMYFUNCTION("IMPORTXML(""https://nominatim.openstreetmap.org/search?q=""&amp;SUBSTITUTE($V11,"" "",""+"")&amp;""+Solo&amp;format=xml&amp;limit=1"",""//place/@lat"")"),"Loading...")</f>
        <v>Loading...</v>
      </c>
      <c r="X11" s="92" t="str">
        <f>IFERROR(__xludf.DUMMYFUNCTION("IMPORTXML(""https://nominatim.openstreetmap.org/search?q=""&amp;SUBSTITUTE($V11,"" "",""+"")&amp;""+Solo&amp;format=xml&amp;limit=1"",""//place/@lon"")"),"Loading...")</f>
        <v>Loading...</v>
      </c>
      <c r="Z11" s="2" t="s">
        <v>567</v>
      </c>
      <c r="AA11" s="92" t="str">
        <f>IFERROR(__xludf.DUMMYFUNCTION("IMPORTXML(""https://nominatim.openstreetmap.org/search?q=""&amp;SUBSTITUTE($Z11,"" "",""+"")&amp;""+Solo&amp;format=xml&amp;limit=1"",""//place/@lat"")"),"Loading...")</f>
        <v>Loading...</v>
      </c>
      <c r="AB11" s="92" t="str">
        <f>IFERROR(__xludf.DUMMYFUNCTION("IMPORTXML(""https://nominatim.openstreetmap.org/search?q=""&amp;SUBSTITUTE($Z11,"" "",""+"")&amp;""+Solo&amp;format=xml&amp;limit=1"",""//place/@lon"")"),"Loading...")</f>
        <v>Loading...</v>
      </c>
      <c r="AD11" s="2" t="s">
        <v>419</v>
      </c>
      <c r="AE11" s="92" t="str">
        <f>IFERROR(__xludf.DUMMYFUNCTION("IMPORTXML(""https://nominatim.openstreetmap.org/search?q=""&amp;SUBSTITUTE($AD11,"" "",""+"")&amp;""+Solo&amp;format=xml&amp;limit=1"",""//place/@lat"")"),"#N/A")</f>
        <v>#N/A</v>
      </c>
      <c r="AF11" s="92" t="str">
        <f>IFERROR(__xludf.DUMMYFUNCTION("IMPORTXML(""https://nominatim.openstreetmap.org/search?q=""&amp;SUBSTITUTE($AD11,"" "",""+"")&amp;""+Solo&amp;format=xml&amp;limit=1"",""//place/@lon"")"),"Loading...")</f>
        <v>Loading...</v>
      </c>
      <c r="AH11" s="2" t="s">
        <v>568</v>
      </c>
      <c r="AI11" s="92" t="str">
        <f>IFERROR(__xludf.DUMMYFUNCTION("IMPORTXML(""https://nominatim.openstreetmap.org/search?q=""&amp;SUBSTITUTE($AH11,"" "",""+"")&amp;""+Solo&amp;format=xml&amp;limit=1"",""//place/@lat"")"),"Loading...")</f>
        <v>Loading...</v>
      </c>
      <c r="AJ11" s="92" t="str">
        <f>IFERROR(__xludf.DUMMYFUNCTION("IMPORTXML(""https://nominatim.openstreetmap.org/search?q=""&amp;SUBSTITUTE($AH11,"" "",""+"")&amp;""+Solo&amp;format=xml&amp;limit=1"",""//place/@lon"")"),"Loading...")</f>
        <v>Loading...</v>
      </c>
      <c r="AL11" s="2" t="s">
        <v>467</v>
      </c>
      <c r="AM11" s="92" t="str">
        <f>IFERROR(__xludf.DUMMYFUNCTION("IMPORTXML(""https://nominatim.openstreetmap.org/search?q=""&amp;SUBSTITUTE($AL11,"" "",""+"")&amp;""+Solo&amp;format=xml&amp;limit=1"",""//place/@lat"")"),"#N/A")</f>
        <v>#N/A</v>
      </c>
      <c r="AN11" s="2" t="str">
        <f>IFERROR(__xludf.DUMMYFUNCTION("IMPORTXML(""https://nominatim.openstreetmap.org/search?q=""&amp;SUBSTITUTE($AL11,"" "",""+"")&amp;""+Solo&amp;format=xml&amp;limit=1"",""//place/@lon"")"),"Loading...")</f>
        <v>Loading...</v>
      </c>
    </row>
    <row r="12">
      <c r="A12" s="92" t="s">
        <v>569</v>
      </c>
      <c r="B12" s="92" t="str">
        <f>IFERROR(__xludf.DUMMYFUNCTION("IMPORTXML(""https://nominatim.openstreetmap.org/search?q=""&amp;SUBSTITUTE($A12,"" "",""+"")&amp;""+Solo&amp;format=xml&amp;limit=1"",""//place/@lat"")"),"#N/A")</f>
        <v>#N/A</v>
      </c>
      <c r="C12" s="92" t="str">
        <f>IFERROR(__xludf.DUMMYFUNCTION("IMPORTXML(""https://nominatim.openstreetmap.org/search?q=""&amp;SUBSTITUTE($A12,"" "",""+"")&amp;""+Solo&amp;format=xml&amp;limit=1"",""//place/@lon"")"),"Loading...")</f>
        <v>Loading...</v>
      </c>
      <c r="F12" s="2" t="s">
        <v>56</v>
      </c>
      <c r="G12" s="92" t="str">
        <f>IFERROR(__xludf.DUMMYFUNCTION("IMPORTXML(""https://nominatim.openstreetmap.org/search?q=""&amp;SUBSTITUTE($F12,"" "",""+"")&amp;""+Solo&amp;format=xml&amp;limit=1"",""//place/@lat"")"),"Loading...")</f>
        <v>Loading...</v>
      </c>
      <c r="H12" s="92" t="str">
        <f>IFERROR(__xludf.DUMMYFUNCTION("IMPORTXML(""https://nominatim.openstreetmap.org/search?q=""&amp;SUBSTITUTE($F12,"" "",""+"")&amp;""+Solo&amp;format=xml&amp;limit=1"",""//place/@lon"")"),"Loading...")</f>
        <v>Loading...</v>
      </c>
      <c r="J12" s="2" t="s">
        <v>285</v>
      </c>
      <c r="K12" s="92" t="str">
        <f>IFERROR(__xludf.DUMMYFUNCTION("IMPORTXML(""https://nominatim.openstreetmap.org/search?q=""&amp;SUBSTITUTE($J12,"" "",""+"")&amp;""+Solo&amp;format=xml&amp;limit=1"",""//place/@lat"")"),"Loading...")</f>
        <v>Loading...</v>
      </c>
      <c r="L12" s="92" t="str">
        <f>IFERROR(__xludf.DUMMYFUNCTION("IMPORTXML(""https://nominatim.openstreetmap.org/search?q=""&amp;SUBSTITUTE($J12,"" "",""+"")&amp;""+Solo&amp;format=xml&amp;limit=1"",""//place/@lon"")"),"Loading...")</f>
        <v>Loading...</v>
      </c>
      <c r="N12" s="2" t="s">
        <v>570</v>
      </c>
      <c r="O12" s="92" t="str">
        <f>IFERROR(__xludf.DUMMYFUNCTION("IMPORTXML(""https://nominatim.openstreetmap.org/search?q=""&amp;SUBSTITUTE($N12,"" "",""+"")&amp;""&amp;format=xml&amp;limit=1"",""//place/@lat"")"),"#N/A")</f>
        <v>#N/A</v>
      </c>
      <c r="P12" s="92" t="str">
        <f>IFERROR(__xludf.DUMMYFUNCTION("IMPORTXML(""https://nominatim.openstreetmap.org/search?q=""&amp;SUBSTITUTE($N12,"" "",""+"")&amp;""&amp;format=xml&amp;limit=1"",""//place/@lon"")"),"#N/A")</f>
        <v>#N/A</v>
      </c>
      <c r="R12" s="2" t="s">
        <v>571</v>
      </c>
      <c r="S12" s="92" t="str">
        <f>IFERROR(__xludf.DUMMYFUNCTION("IMPORTXML(""https://nominatim.openstreetmap.org/search?q=""&amp;SUBSTITUTE($R12,"" "",""+"")&amp;""+Solo&amp;format=xml&amp;limit=1"",""//place/@lat"")"),"Loading...")</f>
        <v>Loading...</v>
      </c>
      <c r="T12" s="92" t="str">
        <f>IFERROR(__xludf.DUMMYFUNCTION("IMPORTXML(""https://nominatim.openstreetmap.org/search?q=""&amp;SUBSTITUTE($R12,"" "",""+"")&amp;""+Solo&amp;format=xml&amp;limit=1"",""//place/@lon"")"),"Loading...")</f>
        <v>Loading...</v>
      </c>
      <c r="V12" s="2" t="s">
        <v>388</v>
      </c>
      <c r="W12" s="92" t="str">
        <f>IFERROR(__xludf.DUMMYFUNCTION("IMPORTXML(""https://nominatim.openstreetmap.org/search?q=""&amp;SUBSTITUTE($V12,"" "",""+"")&amp;""+Solo&amp;format=xml&amp;limit=1"",""//place/@lat"")"),"Loading...")</f>
        <v>Loading...</v>
      </c>
      <c r="X12" s="92" t="str">
        <f>IFERROR(__xludf.DUMMYFUNCTION("IMPORTXML(""https://nominatim.openstreetmap.org/search?q=""&amp;SUBSTITUTE($V12,"" "",""+"")&amp;""+Solo&amp;format=xml&amp;limit=1"",""//place/@lon"")"),"Loading...")</f>
        <v>Loading...</v>
      </c>
      <c r="Z12" s="2" t="s">
        <v>572</v>
      </c>
      <c r="AA12" s="92">
        <f>IFERROR(__xludf.DUMMYFUNCTION("IMPORTXML(""https://nominatim.openstreetmap.org/search?q=""&amp;SUBSTITUTE($Z12,"" "",""+"")&amp;""+Solo&amp;format=xml&amp;limit=1"",""//place/@lat"")"),-7.5561722)</f>
        <v>-7.5561722</v>
      </c>
      <c r="AB12" s="92" t="str">
        <f>IFERROR(__xludf.DUMMYFUNCTION("IMPORTXML(""https://nominatim.openstreetmap.org/search?q=""&amp;SUBSTITUTE($Z12,"" "",""+"")&amp;""+Solo&amp;format=xml&amp;limit=1"",""//place/@lon"")"),"Loading...")</f>
        <v>Loading...</v>
      </c>
      <c r="AD12" s="2" t="s">
        <v>420</v>
      </c>
      <c r="AE12" s="92" t="str">
        <f>IFERROR(__xludf.DUMMYFUNCTION("IMPORTXML(""https://nominatim.openstreetmap.org/search?q=""&amp;SUBSTITUTE($AD12,"" "",""+"")&amp;""+Solo&amp;format=xml&amp;limit=1"",""//place/@lat"")"),"#N/A")</f>
        <v>#N/A</v>
      </c>
      <c r="AF12" s="92" t="str">
        <f>IFERROR(__xludf.DUMMYFUNCTION("IMPORTXML(""https://nominatim.openstreetmap.org/search?q=""&amp;SUBSTITUTE($AD12,"" "",""+"")&amp;""+Solo&amp;format=xml&amp;limit=1"",""//place/@lon"")"),"#N/A")</f>
        <v>#N/A</v>
      </c>
      <c r="AH12" s="2" t="s">
        <v>437</v>
      </c>
      <c r="AI12" s="92" t="str">
        <f>IFERROR(__xludf.DUMMYFUNCTION("IMPORTXML(""https://nominatim.openstreetmap.org/search?q=""&amp;SUBSTITUTE($AH12,"" "",""+"")&amp;""+Solo&amp;format=xml&amp;limit=1"",""//place/@lat"")"),"#N/A")</f>
        <v>#N/A</v>
      </c>
      <c r="AJ12" s="92" t="str">
        <f>IFERROR(__xludf.DUMMYFUNCTION("IMPORTXML(""https://nominatim.openstreetmap.org/search?q=""&amp;SUBSTITUTE($AH12,"" "",""+"")&amp;""+Solo&amp;format=xml&amp;limit=1"",""//place/@lon"")"),"Loading...")</f>
        <v>Loading...</v>
      </c>
      <c r="AL12" s="2" t="s">
        <v>573</v>
      </c>
      <c r="AM12" s="92" t="str">
        <f>IFERROR(__xludf.DUMMYFUNCTION("IMPORTXML(""https://nominatim.openstreetmap.org/search?q=""&amp;SUBSTITUTE($AL12,"" "",""+"")&amp;""+Solo&amp;format=xml&amp;limit=1"",""//place/@lat"")"),"Loading...")</f>
        <v>Loading...</v>
      </c>
      <c r="AN12" s="2" t="str">
        <f>IFERROR(__xludf.DUMMYFUNCTION("IMPORTXML(""https://nominatim.openstreetmap.org/search?q=""&amp;SUBSTITUTE($AL12,"" "",""+"")&amp;""+Solo&amp;format=xml&amp;limit=1"",""//place/@lon"")"),"Loading...")</f>
        <v>Loading...</v>
      </c>
    </row>
    <row r="13">
      <c r="A13" s="92" t="s">
        <v>574</v>
      </c>
      <c r="B13" s="92" t="str">
        <f>IFERROR(__xludf.DUMMYFUNCTION("IMPORTXML(""https://nominatim.openstreetmap.org/search?q=""&amp;SUBSTITUTE($A13,"" "",""+"")&amp;""+Solo&amp;format=xml&amp;limit=1"",""//place/@lat"")"),"Loading...")</f>
        <v>Loading...</v>
      </c>
      <c r="C13" s="92" t="str">
        <f>IFERROR(__xludf.DUMMYFUNCTION("IMPORTXML(""https://nominatim.openstreetmap.org/search?q=""&amp;SUBSTITUTE($A13,"" "",""+"")&amp;""+Solo&amp;format=xml&amp;limit=1"",""//place/@lon"")"),"Loading...")</f>
        <v>Loading...</v>
      </c>
      <c r="F13" s="2" t="s">
        <v>131</v>
      </c>
      <c r="G13" s="92" t="str">
        <f>IFERROR(__xludf.DUMMYFUNCTION("IMPORTXML(""https://nominatim.openstreetmap.org/search?q=""&amp;SUBSTITUTE($F13,"" "",""+"")&amp;""+Solo&amp;format=xml&amp;limit=1"",""//place/@lat"")"),"#N/A")</f>
        <v>#N/A</v>
      </c>
      <c r="H13" s="92" t="str">
        <f>IFERROR(__xludf.DUMMYFUNCTION("IMPORTXML(""https://nominatim.openstreetmap.org/search?q=""&amp;SUBSTITUTE($F13,"" "",""+"")&amp;""+Solo&amp;format=xml&amp;limit=1"",""//place/@lon"")"),"Loading...")</f>
        <v>Loading...</v>
      </c>
      <c r="J13" s="2" t="s">
        <v>575</v>
      </c>
      <c r="K13" s="92" t="str">
        <f>IFERROR(__xludf.DUMMYFUNCTION("IMPORTXML(""https://nominatim.openstreetmap.org/search?q=""&amp;SUBSTITUTE($J13,"" "",""+"")&amp;""+Solo&amp;format=xml&amp;limit=1"",""//place/@lat"")"),"Loading...")</f>
        <v>Loading...</v>
      </c>
      <c r="L13" s="92" t="str">
        <f>IFERROR(__xludf.DUMMYFUNCTION("IMPORTXML(""https://nominatim.openstreetmap.org/search?q=""&amp;SUBSTITUTE($J13,"" "",""+"")&amp;""+Solo&amp;format=xml&amp;limit=1"",""//place/@lon"")"),"Loading...")</f>
        <v>Loading...</v>
      </c>
      <c r="N13" s="2" t="s">
        <v>576</v>
      </c>
      <c r="O13" s="92" t="str">
        <f>IFERROR(__xludf.DUMMYFUNCTION("IMPORTXML(""https://nominatim.openstreetmap.org/search?q=""&amp;SUBSTITUTE($N13,"" "",""+"")&amp;""&amp;format=xml&amp;limit=1"",""//place/@lat"")"),"Loading...")</f>
        <v>Loading...</v>
      </c>
      <c r="P13" s="92" t="str">
        <f>IFERROR(__xludf.DUMMYFUNCTION("IMPORTXML(""https://nominatim.openstreetmap.org/search?q=""&amp;SUBSTITUTE($N13,"" "",""+"")&amp;""&amp;format=xml&amp;limit=1"",""//place/@lon"")"),"Loading...")</f>
        <v>Loading...</v>
      </c>
      <c r="R13" s="2" t="s">
        <v>577</v>
      </c>
      <c r="S13" s="92" t="str">
        <f>IFERROR(__xludf.DUMMYFUNCTION("IMPORTXML(""https://nominatim.openstreetmap.org/search?q=""&amp;SUBSTITUTE($R13,"" "",""+"")&amp;""+Solo&amp;format=xml&amp;limit=1"",""//place/@lat"")"),"Loading...")</f>
        <v>Loading...</v>
      </c>
      <c r="T13" s="92" t="str">
        <f>IFERROR(__xludf.DUMMYFUNCTION("IMPORTXML(""https://nominatim.openstreetmap.org/search?q=""&amp;SUBSTITUTE($R13,"" "",""+"")&amp;""+Solo&amp;format=xml&amp;limit=1"",""//place/@lon"")"),"#N/A")</f>
        <v>#N/A</v>
      </c>
      <c r="V13" s="2" t="s">
        <v>390</v>
      </c>
      <c r="W13" s="92" t="str">
        <f>IFERROR(__xludf.DUMMYFUNCTION("IMPORTXML(""https://nominatim.openstreetmap.org/search?q=""&amp;SUBSTITUTE($V13,"" "",""+"")&amp;""+Solo&amp;format=xml&amp;limit=1"",""//place/@lat"")"),"#N/A")</f>
        <v>#N/A</v>
      </c>
      <c r="X13" s="92" t="str">
        <f>IFERROR(__xludf.DUMMYFUNCTION("IMPORTXML(""https://nominatim.openstreetmap.org/search?q=""&amp;SUBSTITUTE($V13,"" "",""+"")&amp;""+Solo&amp;format=xml&amp;limit=1"",""//place/@lon"")"),"Loading...")</f>
        <v>Loading...</v>
      </c>
      <c r="Z13" s="2" t="s">
        <v>578</v>
      </c>
      <c r="AA13" s="92" t="str">
        <f>IFERROR(__xludf.DUMMYFUNCTION("IMPORTXML(""https://nominatim.openstreetmap.org/search?q=""&amp;SUBSTITUTE($Z13,"" "",""+"")&amp;""+Solo&amp;format=xml&amp;limit=1"",""//place/@lat"")"),"Loading...")</f>
        <v>Loading...</v>
      </c>
      <c r="AB13" s="92" t="str">
        <f>IFERROR(__xludf.DUMMYFUNCTION("IMPORTXML(""https://nominatim.openstreetmap.org/search?q=""&amp;SUBSTITUTE($Z13,"" "",""+"")&amp;""+Solo&amp;format=xml&amp;limit=1"",""//place/@lon"")"),"#N/A")</f>
        <v>#N/A</v>
      </c>
      <c r="AD13" s="2" t="s">
        <v>421</v>
      </c>
      <c r="AE13" s="92" t="str">
        <f>IFERROR(__xludf.DUMMYFUNCTION("IMPORTXML(""https://nominatim.openstreetmap.org/search?q=""&amp;SUBSTITUTE($AD13,"" "",""+"")&amp;""+Solo&amp;format=xml&amp;limit=1"",""//place/@lat"")"),"#N/A")</f>
        <v>#N/A</v>
      </c>
      <c r="AF13" s="92" t="str">
        <f>IFERROR(__xludf.DUMMYFUNCTION("IMPORTXML(""https://nominatim.openstreetmap.org/search?q=""&amp;SUBSTITUTE($AD13,"" "",""+"")&amp;""+Solo&amp;format=xml&amp;limit=1"",""//place/@lon"")"),"Loading...")</f>
        <v>Loading...</v>
      </c>
      <c r="AH13" s="2" t="s">
        <v>215</v>
      </c>
      <c r="AI13" s="92" t="str">
        <f>IFERROR(__xludf.DUMMYFUNCTION("IMPORTXML(""https://nominatim.openstreetmap.org/search?q=""&amp;SUBSTITUTE($AH13,"" "",""+"")&amp;""+Solo&amp;format=xml&amp;limit=1"",""//place/@lat"")"),"Loading...")</f>
        <v>Loading...</v>
      </c>
      <c r="AJ13" s="92" t="str">
        <f>IFERROR(__xludf.DUMMYFUNCTION("IMPORTXML(""https://nominatim.openstreetmap.org/search?q=""&amp;SUBSTITUTE($AH13,"" "",""+"")&amp;""+Solo&amp;format=xml&amp;limit=1"",""//place/@lon"")"),"Loading...")</f>
        <v>Loading...</v>
      </c>
      <c r="AL13" s="2" t="s">
        <v>171</v>
      </c>
      <c r="AM13" s="92" t="str">
        <f>IFERROR(__xludf.DUMMYFUNCTION("IMPORTXML(""https://nominatim.openstreetmap.org/search?q=""&amp;SUBSTITUTE($AL13,"" "",""+"")&amp;""+Solo&amp;format=xml&amp;limit=1"",""//place/@lat"")"),"Loading...")</f>
        <v>Loading...</v>
      </c>
      <c r="AN13" s="2" t="str">
        <f>IFERROR(__xludf.DUMMYFUNCTION("IMPORTXML(""https://nominatim.openstreetmap.org/search?q=""&amp;SUBSTITUTE($AL13,"" "",""+"")&amp;""+Solo&amp;format=xml&amp;limit=1"",""//place/@lon"")"),"#N/A")</f>
        <v>#N/A</v>
      </c>
    </row>
    <row r="14">
      <c r="A14" s="92" t="s">
        <v>156</v>
      </c>
      <c r="B14" s="92" t="str">
        <f>IFERROR(__xludf.DUMMYFUNCTION("IMPORTXML(""https://nominatim.openstreetmap.org/search?q=""&amp;SUBSTITUTE($A14,"" "",""+"")&amp;""+Solo&amp;format=xml&amp;limit=1"",""//place/@lat"")"),"Loading...")</f>
        <v>Loading...</v>
      </c>
      <c r="C14" s="92" t="str">
        <f>IFERROR(__xludf.DUMMYFUNCTION("IMPORTXML(""https://nominatim.openstreetmap.org/search?q=""&amp;SUBSTITUTE($A14,"" "",""+"")&amp;""+Solo&amp;format=xml&amp;limit=1"",""//place/@lon"")"),"Loading...")</f>
        <v>Loading...</v>
      </c>
      <c r="F14" s="2" t="s">
        <v>140</v>
      </c>
      <c r="G14" s="92" t="str">
        <f>IFERROR(__xludf.DUMMYFUNCTION("IMPORTXML(""https://nominatim.openstreetmap.org/search?q=""&amp;SUBSTITUTE($F14,"" "",""+"")&amp;""+Solo&amp;format=xml&amp;limit=1"",""//place/@lat"")"),"Loading...")</f>
        <v>Loading...</v>
      </c>
      <c r="H14" s="92" t="str">
        <f>IFERROR(__xludf.DUMMYFUNCTION("IMPORTXML(""https://nominatim.openstreetmap.org/search?q=""&amp;SUBSTITUTE($F14,"" "",""+"")&amp;""+Solo&amp;format=xml&amp;limit=1"",""//place/@lon"")"),"#N/A")</f>
        <v>#N/A</v>
      </c>
      <c r="J14" s="2" t="s">
        <v>579</v>
      </c>
      <c r="K14" s="92" t="str">
        <f>IFERROR(__xludf.DUMMYFUNCTION("IMPORTXML(""https://nominatim.openstreetmap.org/search?q=""&amp;SUBSTITUTE($J14,"" "",""+"")&amp;""+Solo&amp;format=xml&amp;limit=1"",""//place/@lat"")"),"#N/A")</f>
        <v>#N/A</v>
      </c>
      <c r="L14" s="92" t="str">
        <f>IFERROR(__xludf.DUMMYFUNCTION("IMPORTXML(""https://nominatim.openstreetmap.org/search?q=""&amp;SUBSTITUTE($J14,"" "",""+"")&amp;""+Solo&amp;format=xml&amp;limit=1"",""//place/@lon"")"),"Loading...")</f>
        <v>Loading...</v>
      </c>
      <c r="N14" s="2" t="s">
        <v>309</v>
      </c>
      <c r="O14" s="92" t="str">
        <f>IFERROR(__xludf.DUMMYFUNCTION("IMPORTXML(""https://nominatim.openstreetmap.org/search?q=""&amp;SUBSTITUTE($N14,"" "",""+"")&amp;""&amp;format=xml&amp;limit=1"",""//place/@lat"")"),"#N/A")</f>
        <v>#N/A</v>
      </c>
      <c r="P14" s="92" t="str">
        <f>IFERROR(__xludf.DUMMYFUNCTION("IMPORTXML(""https://nominatim.openstreetmap.org/search?q=""&amp;SUBSTITUTE($N14,"" "",""+"")&amp;""&amp;format=xml&amp;limit=1"",""//place/@lon"")"),"Loading...")</f>
        <v>Loading...</v>
      </c>
      <c r="R14" s="2" t="s">
        <v>580</v>
      </c>
      <c r="S14" s="92" t="str">
        <f>IFERROR(__xludf.DUMMYFUNCTION("IMPORTXML(""https://nominatim.openstreetmap.org/search?q=""&amp;SUBSTITUTE($R14,"" "",""+"")&amp;""+Solo&amp;format=xml&amp;limit=1"",""//place/@lat"")"),"Loading...")</f>
        <v>Loading...</v>
      </c>
      <c r="T14" s="92" t="str">
        <f>IFERROR(__xludf.DUMMYFUNCTION("IMPORTXML(""https://nominatim.openstreetmap.org/search?q=""&amp;SUBSTITUTE($R14,"" "",""+"")&amp;""+Solo&amp;format=xml&amp;limit=1"",""//place/@lon"")"),"#N/A")</f>
        <v>#N/A</v>
      </c>
      <c r="V14" s="2" t="s">
        <v>391</v>
      </c>
      <c r="W14" s="92" t="str">
        <f>IFERROR(__xludf.DUMMYFUNCTION("IMPORTXML(""https://nominatim.openstreetmap.org/search?q=""&amp;SUBSTITUTE($V14,"" "",""+"")&amp;""+Solo&amp;format=xml&amp;limit=1"",""//place/@lat"")"),"#N/A")</f>
        <v>#N/A</v>
      </c>
      <c r="X14" s="92" t="str">
        <f>IFERROR(__xludf.DUMMYFUNCTION("IMPORTXML(""https://nominatim.openstreetmap.org/search?q=""&amp;SUBSTITUTE($V14,"" "",""+"")&amp;""+Solo&amp;format=xml&amp;limit=1"",""//place/@lon"")"),"Loading...")</f>
        <v>Loading...</v>
      </c>
      <c r="Z14" s="2" t="s">
        <v>188</v>
      </c>
      <c r="AA14" s="92" t="str">
        <f>IFERROR(__xludf.DUMMYFUNCTION("IMPORTXML(""https://nominatim.openstreetmap.org/search?q=""&amp;SUBSTITUTE($Z14,"" "",""+"")&amp;""+Solo&amp;format=xml&amp;limit=1"",""//place/@lat"")"),"#N/A")</f>
        <v>#N/A</v>
      </c>
      <c r="AB14" s="92" t="str">
        <f>IFERROR(__xludf.DUMMYFUNCTION("IMPORTXML(""https://nominatim.openstreetmap.org/search?q=""&amp;SUBSTITUTE($Z14,"" "",""+"")&amp;""+Solo&amp;format=xml&amp;limit=1"",""//place/@lon"")"),"Loading...")</f>
        <v>Loading...</v>
      </c>
      <c r="AD14" s="2" t="s">
        <v>422</v>
      </c>
      <c r="AE14" s="92" t="str">
        <f>IFERROR(__xludf.DUMMYFUNCTION("IMPORTXML(""https://nominatim.openstreetmap.org/search?q=""&amp;SUBSTITUTE($AD14,"" "",""+"")&amp;""+Solo&amp;format=xml&amp;limit=1"",""//place/@lat"")"),"Loading...")</f>
        <v>Loading...</v>
      </c>
      <c r="AF14" s="92">
        <f>IFERROR(__xludf.DUMMYFUNCTION("IMPORTXML(""https://nominatim.openstreetmap.org/search?q=""&amp;SUBSTITUTE($AD14,"" "",""+"")&amp;""+Solo&amp;format=xml&amp;limit=1"",""//place/@lon"")"),110.8207881)</f>
        <v>110.8207881</v>
      </c>
      <c r="AH14" s="2" t="s">
        <v>214</v>
      </c>
      <c r="AI14" s="92" t="str">
        <f>IFERROR(__xludf.DUMMYFUNCTION("IMPORTXML(""https://nominatim.openstreetmap.org/search?q=""&amp;SUBSTITUTE($AH14,"" "",""+"")&amp;""+Solo&amp;format=xml&amp;limit=1"",""//place/@lat"")"),"Loading...")</f>
        <v>Loading...</v>
      </c>
      <c r="AJ14" s="92" t="str">
        <f>IFERROR(__xludf.DUMMYFUNCTION("IMPORTXML(""https://nominatim.openstreetmap.org/search?q=""&amp;SUBSTITUTE($AH14,"" "",""+"")&amp;""+Solo&amp;format=xml&amp;limit=1"",""//place/@lon"")"),"Loading...")</f>
        <v>Loading...</v>
      </c>
      <c r="AL14" s="2" t="s">
        <v>522</v>
      </c>
      <c r="AM14" s="92" t="str">
        <f>IFERROR(__xludf.DUMMYFUNCTION("IMPORTXML(""https://nominatim.openstreetmap.org/search?q=""&amp;SUBSTITUTE($AL14,"" "",""+"")&amp;""+Solo&amp;format=xml&amp;limit=1"",""//place/@lat"")"),"Loading...")</f>
        <v>Loading...</v>
      </c>
      <c r="AN14" s="2" t="str">
        <f>IFERROR(__xludf.DUMMYFUNCTION("IMPORTXML(""https://nominatim.openstreetmap.org/search?q=""&amp;SUBSTITUTE($AL14,"" "",""+"")&amp;""+Solo&amp;format=xml&amp;limit=1"",""//place/@lon"")"),"#N/A")</f>
        <v>#N/A</v>
      </c>
    </row>
    <row r="15">
      <c r="A15" s="92" t="s">
        <v>157</v>
      </c>
      <c r="B15" s="92" t="str">
        <f>IFERROR(__xludf.DUMMYFUNCTION("IMPORTXML(""https://nominatim.openstreetmap.org/search?q=""&amp;SUBSTITUTE($A15,"" "",""+"")&amp;""+Solo&amp;format=xml&amp;limit=1"",""//place/@lat"")"),"Loading...")</f>
        <v>Loading...</v>
      </c>
      <c r="C15" s="92" t="str">
        <f>IFERROR(__xludf.DUMMYFUNCTION("IMPORTXML(""https://nominatim.openstreetmap.org/search?q=""&amp;SUBSTITUTE($A15,"" "",""+"")&amp;""+Solo&amp;format=xml&amp;limit=1"",""//place/@lon"")"),"Loading...")</f>
        <v>Loading...</v>
      </c>
      <c r="F15" s="2" t="s">
        <v>581</v>
      </c>
      <c r="G15" s="92" t="str">
        <f>IFERROR(__xludf.DUMMYFUNCTION("IMPORTXML(""https://nominatim.openstreetmap.org/search?q=""&amp;SUBSTITUTE($F15,"" "",""+"")&amp;""+Solo&amp;format=xml&amp;limit=1"",""//place/@lat"")"),"#N/A")</f>
        <v>#N/A</v>
      </c>
      <c r="H15" s="92" t="str">
        <f>IFERROR(__xludf.DUMMYFUNCTION("IMPORTXML(""https://nominatim.openstreetmap.org/search?q=""&amp;SUBSTITUTE($F15,"" "",""+"")&amp;""+Solo&amp;format=xml&amp;limit=1"",""//place/@lon"")"),"Loading...")</f>
        <v>Loading...</v>
      </c>
      <c r="J15" s="2" t="s">
        <v>582</v>
      </c>
      <c r="K15" s="92" t="str">
        <f>IFERROR(__xludf.DUMMYFUNCTION("IMPORTXML(""https://nominatim.openstreetmap.org/search?q=""&amp;SUBSTITUTE($J15,"" "",""+"")&amp;""+Solo&amp;format=xml&amp;limit=1"",""//place/@lat"")"),"#N/A")</f>
        <v>#N/A</v>
      </c>
      <c r="L15" s="92" t="str">
        <f>IFERROR(__xludf.DUMMYFUNCTION("IMPORTXML(""https://nominatim.openstreetmap.org/search?q=""&amp;SUBSTITUTE($J15,"" "",""+"")&amp;""+Solo&amp;format=xml&amp;limit=1"",""//place/@lon"")"),"#N/A")</f>
        <v>#N/A</v>
      </c>
      <c r="N15" s="2" t="s">
        <v>310</v>
      </c>
      <c r="O15" s="92" t="str">
        <f>IFERROR(__xludf.DUMMYFUNCTION("IMPORTXML(""https://nominatim.openstreetmap.org/search?q=""&amp;SUBSTITUTE($N15,"" "",""+"")&amp;""&amp;format=xml&amp;limit=1"",""//place/@lat"")"),"#N/A")</f>
        <v>#N/A</v>
      </c>
      <c r="P15" s="92" t="str">
        <f>IFERROR(__xludf.DUMMYFUNCTION("IMPORTXML(""https://nominatim.openstreetmap.org/search?q=""&amp;SUBSTITUTE($N15,"" "",""+"")&amp;""&amp;format=xml&amp;limit=1"",""//place/@lon"")"),"Loading...")</f>
        <v>Loading...</v>
      </c>
      <c r="R15" s="2" t="s">
        <v>583</v>
      </c>
      <c r="S15" s="92" t="str">
        <f>IFERROR(__xludf.DUMMYFUNCTION("IMPORTXML(""https://nominatim.openstreetmap.org/search?q=""&amp;SUBSTITUTE($R15,"" "",""+"")&amp;""+Solo&amp;format=xml&amp;limit=1"",""//place/@lat"")"),"Loading...")</f>
        <v>Loading...</v>
      </c>
      <c r="T15" s="92" t="str">
        <f>IFERROR(__xludf.DUMMYFUNCTION("IMPORTXML(""https://nominatim.openstreetmap.org/search?q=""&amp;SUBSTITUTE($R15,"" "",""+"")&amp;""+Solo&amp;format=xml&amp;limit=1"",""//place/@lon"")"),"Loading...")</f>
        <v>Loading...</v>
      </c>
      <c r="V15" s="2" t="s">
        <v>584</v>
      </c>
      <c r="W15" s="92" t="str">
        <f>IFERROR(__xludf.DUMMYFUNCTION("IMPORTXML(""https://nominatim.openstreetmap.org/search?q=""&amp;SUBSTITUTE($V15,"" "",""+"")&amp;""+Solo&amp;format=xml&amp;limit=1"",""//place/@lat"")"),"Loading...")</f>
        <v>Loading...</v>
      </c>
      <c r="X15" s="92" t="str">
        <f>IFERROR(__xludf.DUMMYFUNCTION("IMPORTXML(""https://nominatim.openstreetmap.org/search?q=""&amp;SUBSTITUTE($V15,"" "",""+"")&amp;""+Solo&amp;format=xml&amp;limit=1"",""//place/@lon"")"),"#N/A")</f>
        <v>#N/A</v>
      </c>
      <c r="Z15" s="2" t="s">
        <v>189</v>
      </c>
      <c r="AA15" s="92" t="str">
        <f>IFERROR(__xludf.DUMMYFUNCTION("IMPORTXML(""https://nominatim.openstreetmap.org/search?q=""&amp;SUBSTITUTE($Z15,"" "",""+"")&amp;""+Solo&amp;format=xml&amp;limit=1"",""//place/@lat"")"),"Loading...")</f>
        <v>Loading...</v>
      </c>
      <c r="AB15" s="92" t="str">
        <f>IFERROR(__xludf.DUMMYFUNCTION("IMPORTXML(""https://nominatim.openstreetmap.org/search?q=""&amp;SUBSTITUTE($Z15,"" "",""+"")&amp;""+Solo&amp;format=xml&amp;limit=1"",""//place/@lon"")"),"#N/A")</f>
        <v>#N/A</v>
      </c>
      <c r="AD15" s="2" t="s">
        <v>423</v>
      </c>
      <c r="AE15" s="92" t="str">
        <f>IFERROR(__xludf.DUMMYFUNCTION("IMPORTXML(""https://nominatim.openstreetmap.org/search?q=""&amp;SUBSTITUTE($AD15,"" "",""+"")&amp;""+Solo&amp;format=xml&amp;limit=1"",""//place/@lat"")"),"#N/A")</f>
        <v>#N/A</v>
      </c>
      <c r="AF15" s="92" t="str">
        <f>IFERROR(__xludf.DUMMYFUNCTION("IMPORTXML(""https://nominatim.openstreetmap.org/search?q=""&amp;SUBSTITUTE($AD15,"" "",""+"")&amp;""+Solo&amp;format=xml&amp;limit=1"",""//place/@lon"")"),"Loading...")</f>
        <v>Loading...</v>
      </c>
      <c r="AH15" s="2" t="s">
        <v>438</v>
      </c>
      <c r="AI15" s="92" t="str">
        <f>IFERROR(__xludf.DUMMYFUNCTION("IMPORTXML(""https://nominatim.openstreetmap.org/search?q=""&amp;SUBSTITUTE($AH15,"" "",""+"")&amp;""+Solo&amp;format=xml&amp;limit=1"",""//place/@lat"")"),"Loading...")</f>
        <v>Loading...</v>
      </c>
      <c r="AJ15" s="92" t="str">
        <f>IFERROR(__xludf.DUMMYFUNCTION("IMPORTXML(""https://nominatim.openstreetmap.org/search?q=""&amp;SUBSTITUTE($AH15,"" "",""+"")&amp;""+Solo&amp;format=xml&amp;limit=1"",""//place/@lon"")"),"#N/A")</f>
        <v>#N/A</v>
      </c>
      <c r="AL15" s="2" t="s">
        <v>523</v>
      </c>
      <c r="AM15" s="92" t="str">
        <f>IFERROR(__xludf.DUMMYFUNCTION("IMPORTXML(""https://nominatim.openstreetmap.org/search?q=""&amp;SUBSTITUTE($AL15,"" "",""+"")&amp;""+Solo&amp;format=xml&amp;limit=1"",""//place/@lat"")"),"Loading...")</f>
        <v>Loading...</v>
      </c>
      <c r="AN15" s="2" t="str">
        <f>IFERROR(__xludf.DUMMYFUNCTION("IMPORTXML(""https://nominatim.openstreetmap.org/search?q=""&amp;SUBSTITUTE($AL15,"" "",""+"")&amp;""+Solo&amp;format=xml&amp;limit=1"",""//place/@lon"")"),"#N/A")</f>
        <v>#N/A</v>
      </c>
    </row>
    <row r="16">
      <c r="A16" s="92" t="s">
        <v>487</v>
      </c>
      <c r="B16" s="2">
        <v>-7.558082</v>
      </c>
      <c r="C16" s="2">
        <v>110.8464</v>
      </c>
      <c r="F16" s="2" t="s">
        <v>585</v>
      </c>
      <c r="G16" s="92" t="str">
        <f>IFERROR(__xludf.DUMMYFUNCTION("IMPORTXML(""https://nominatim.openstreetmap.org/search?q=""&amp;SUBSTITUTE($F16,"" "",""+"")&amp;""+Solo&amp;format=xml&amp;limit=1"",""//place/@lat"")"),"Loading...")</f>
        <v>Loading...</v>
      </c>
      <c r="H16" s="92" t="str">
        <f>IFERROR(__xludf.DUMMYFUNCTION("IMPORTXML(""https://nominatim.openstreetmap.org/search?q=""&amp;SUBSTITUTE($F16,"" "",""+"")&amp;""+Solo&amp;format=xml&amp;limit=1"",""//place/@lon"")"),"Loading...")</f>
        <v>Loading...</v>
      </c>
      <c r="J16" s="2" t="s">
        <v>586</v>
      </c>
      <c r="K16" s="92" t="str">
        <f>IFERROR(__xludf.DUMMYFUNCTION("IMPORTXML(""https://nominatim.openstreetmap.org/search?q=""&amp;SUBSTITUTE($J16,"" "",""+"")&amp;""+Solo&amp;format=xml&amp;limit=1"",""//place/@lat"")"),"Loading...")</f>
        <v>Loading...</v>
      </c>
      <c r="L16" s="92" t="str">
        <f>IFERROR(__xludf.DUMMYFUNCTION("IMPORTXML(""https://nominatim.openstreetmap.org/search?q=""&amp;SUBSTITUTE($J16,"" "",""+"")&amp;""+Solo&amp;format=xml&amp;limit=1"",""//place/@lon"")"),"#N/A")</f>
        <v>#N/A</v>
      </c>
      <c r="N16" s="2" t="s">
        <v>311</v>
      </c>
      <c r="O16" s="92" t="str">
        <f>IFERROR(__xludf.DUMMYFUNCTION("IMPORTXML(""https://nominatim.openstreetmap.org/search?q=""&amp;SUBSTITUTE($N16,"" "",""+"")&amp;""&amp;format=xml&amp;limit=1"",""//place/@lat"")"),"Loading...")</f>
        <v>Loading...</v>
      </c>
      <c r="P16" s="92" t="str">
        <f>IFERROR(__xludf.DUMMYFUNCTION("IMPORTXML(""https://nominatim.openstreetmap.org/search?q=""&amp;SUBSTITUTE($N16,"" "",""+"")&amp;""+Solo&amp;format=xml&amp;limit=1"",""//place/@lon"")"),"Loading...")</f>
        <v>Loading...</v>
      </c>
      <c r="R16" s="2" t="s">
        <v>587</v>
      </c>
      <c r="S16" s="92" t="str">
        <f>IFERROR(__xludf.DUMMYFUNCTION("IMPORTXML(""https://nominatim.openstreetmap.org/search?q=""&amp;SUBSTITUTE($R16,"" "",""+"")&amp;""+Solo&amp;format=xml&amp;limit=1"",""//place/@lat"")"),"Loading...")</f>
        <v>Loading...</v>
      </c>
      <c r="T16" s="92" t="str">
        <f>IFERROR(__xludf.DUMMYFUNCTION("IMPORTXML(""https://nominatim.openstreetmap.org/search?q=""&amp;SUBSTITUTE($R16,"" "",""+"")&amp;""+Solo&amp;format=xml&amp;limit=1"",""//place/@lon"")"),"Loading...")</f>
        <v>Loading...</v>
      </c>
      <c r="V16" s="2" t="s">
        <v>393</v>
      </c>
      <c r="W16" s="92" t="str">
        <f>IFERROR(__xludf.DUMMYFUNCTION("IMPORTXML(""https://nominatim.openstreetmap.org/search?q=""&amp;SUBSTITUTE($V16,"" "",""+"")&amp;""+Solo&amp;format=xml&amp;limit=1"",""//place/@lat"")"),"Loading...")</f>
        <v>Loading...</v>
      </c>
      <c r="X16" s="92" t="str">
        <f>IFERROR(__xludf.DUMMYFUNCTION("IMPORTXML(""https://nominatim.openstreetmap.org/search?q=""&amp;SUBSTITUTE($V16,"" "",""+"")&amp;""+Solo&amp;format=xml&amp;limit=1"",""//place/@lon"")"),"Loading...")</f>
        <v>Loading...</v>
      </c>
      <c r="Z16" s="2" t="s">
        <v>190</v>
      </c>
      <c r="AA16" s="92" t="str">
        <f>IFERROR(__xludf.DUMMYFUNCTION("IMPORTXML(""https://nominatim.openstreetmap.org/search?q=""&amp;SUBSTITUTE($Z16,"" "",""+"")&amp;""+Solo&amp;format=xml&amp;limit=1"",""//place/@lat"")"),"Loading...")</f>
        <v>Loading...</v>
      </c>
      <c r="AB16" s="92" t="str">
        <f>IFERROR(__xludf.DUMMYFUNCTION("IMPORTXML(""https://nominatim.openstreetmap.org/search?q=""&amp;SUBSTITUTE($Z16,"" "",""+"")&amp;""+Solo&amp;format=xml&amp;limit=1"",""//place/@lon"")"),"#N/A")</f>
        <v>#N/A</v>
      </c>
      <c r="AD16" s="2" t="s">
        <v>211</v>
      </c>
      <c r="AE16" s="92" t="str">
        <f>IFERROR(__xludf.DUMMYFUNCTION("IMPORTXML(""https://nominatim.openstreetmap.org/search?q=""&amp;SUBSTITUTE($AD16,"" "",""+"")&amp;""+Solo&amp;format=xml&amp;limit=1"",""//place/@lat"")"),"Loading...")</f>
        <v>Loading...</v>
      </c>
      <c r="AF16" s="92" t="str">
        <f>IFERROR(__xludf.DUMMYFUNCTION("IMPORTXML(""https://nominatim.openstreetmap.org/search?q=""&amp;SUBSTITUTE($AD16,"" "",""+"")&amp;""+Solo&amp;format=xml&amp;limit=1"",""//place/@lon"")"),"Loading...")</f>
        <v>Loading...</v>
      </c>
      <c r="AH16" s="2" t="s">
        <v>439</v>
      </c>
      <c r="AI16" s="92" t="str">
        <f>IFERROR(__xludf.DUMMYFUNCTION("IMPORTXML(""https://nominatim.openstreetmap.org/search?q=""&amp;SUBSTITUTE($AH16,"" "",""+"")&amp;""+Solo&amp;format=xml&amp;limit=1"",""//place/@lat"")"),"Loading...")</f>
        <v>Loading...</v>
      </c>
      <c r="AJ16" s="92" t="str">
        <f>IFERROR(__xludf.DUMMYFUNCTION("IMPORTXML(""https://nominatim.openstreetmap.org/search?q=""&amp;SUBSTITUTE($AH16,"" "",""+"")&amp;""+Solo&amp;format=xml&amp;limit=1"",""//place/@lon"")"),"#N/A")</f>
        <v>#N/A</v>
      </c>
      <c r="AL16" s="2" t="s">
        <v>588</v>
      </c>
      <c r="AM16" s="92" t="str">
        <f>IFERROR(__xludf.DUMMYFUNCTION("IMPORTXML(""https://nominatim.openstreetmap.org/search?q=""&amp;SUBSTITUTE($AL16,"" "",""+"")&amp;""+Solo&amp;format=xml&amp;limit=1"",""//place/@lat"")"),"#N/A")</f>
        <v>#N/A</v>
      </c>
      <c r="AN16" s="2" t="str">
        <f>IFERROR(__xludf.DUMMYFUNCTION("IMPORTXML(""https://nominatim.openstreetmap.org/search?q=""&amp;SUBSTITUTE($AL16,"" "",""+"")&amp;""+Solo&amp;format=xml&amp;limit=1"",""//place/@lon"")"),"Loading...")</f>
        <v>Loading...</v>
      </c>
    </row>
    <row r="17">
      <c r="A17" s="92" t="s">
        <v>589</v>
      </c>
      <c r="B17" s="2">
        <v>-7.559202</v>
      </c>
      <c r="C17" s="2">
        <v>110.84381</v>
      </c>
      <c r="F17" s="2" t="s">
        <v>590</v>
      </c>
      <c r="G17" s="92" t="str">
        <f>IFERROR(__xludf.DUMMYFUNCTION("IMPORTXML(""https://nominatim.openstreetmap.org/search?q=""&amp;SUBSTITUTE($F17,"" "",""+"")&amp;""+Solo&amp;format=xml&amp;limit=1"",""//place/@lat"")"),"Loading...")</f>
        <v>Loading...</v>
      </c>
      <c r="H17" s="92" t="str">
        <f>IFERROR(__xludf.DUMMYFUNCTION("IMPORTXML(""https://nominatim.openstreetmap.org/search?q=""&amp;SUBSTITUTE($F17,"" "",""+"")&amp;""+Solo&amp;format=xml&amp;limit=1"",""//place/@lon"")"),"#N/A")</f>
        <v>#N/A</v>
      </c>
      <c r="J17" s="2" t="s">
        <v>591</v>
      </c>
      <c r="K17" s="92" t="str">
        <f>IFERROR(__xludf.DUMMYFUNCTION("IMPORTXML(""https://nominatim.openstreetmap.org/search?q=""&amp;SUBSTITUTE($J17,"" "",""+"")&amp;""+Solo&amp;format=xml&amp;limit=1"",""//place/@lat"")"),"#N/A")</f>
        <v>#N/A</v>
      </c>
      <c r="L17" s="92" t="str">
        <f>IFERROR(__xludf.DUMMYFUNCTION("IMPORTXML(""https://nominatim.openstreetmap.org/search?q=""&amp;SUBSTITUTE($J17,"" "",""+"")&amp;""+Solo&amp;format=xml&amp;limit=1"",""//place/@lon"")"),"Loading...")</f>
        <v>Loading...</v>
      </c>
      <c r="N17" s="2" t="s">
        <v>312</v>
      </c>
      <c r="O17" s="92" t="str">
        <f>IFERROR(__xludf.DUMMYFUNCTION("IMPORTXML(""https://nominatim.openstreetmap.org/search?q=""&amp;SUBSTITUTE($N17,"" "",""+"")&amp;""&amp;format=xml&amp;limit=1"",""//place/@lat"")"),"Loading...")</f>
        <v>Loading...</v>
      </c>
      <c r="P17" s="92" t="str">
        <f>IFERROR(__xludf.DUMMYFUNCTION("IMPORTXML(""https://nominatim.openstreetmap.org/search?q=""&amp;SUBSTITUTE($N17,"" "",""+"")&amp;""+Solo&amp;format=xml&amp;limit=1"",""//place/@lon"")"),"Loading...")</f>
        <v>Loading...</v>
      </c>
      <c r="R17" s="2" t="s">
        <v>592</v>
      </c>
      <c r="S17" s="92" t="str">
        <f>IFERROR(__xludf.DUMMYFUNCTION("IMPORTXML(""https://nominatim.openstreetmap.org/search?q=""&amp;SUBSTITUTE($R17,"" "",""+"")&amp;""+Solo&amp;format=xml&amp;limit=1"",""//place/@lat"")"),"#N/A")</f>
        <v>#N/A</v>
      </c>
      <c r="T17" s="92" t="str">
        <f>IFERROR(__xludf.DUMMYFUNCTION("IMPORTXML(""https://nominatim.openstreetmap.org/search?q=""&amp;SUBSTITUTE($R17,"" "",""+"")&amp;""+Solo&amp;format=xml&amp;limit=1"",""//place/@lon"")"),"Loading...")</f>
        <v>Loading...</v>
      </c>
      <c r="V17" s="2" t="s">
        <v>394</v>
      </c>
      <c r="W17" s="92" t="str">
        <f>IFERROR(__xludf.DUMMYFUNCTION("IMPORTXML(""https://nominatim.openstreetmap.org/search?q=""&amp;SUBSTITUTE($V17,"" "",""+"")&amp;""+Solo&amp;format=xml&amp;limit=1"",""//place/@lat"")"),"Loading...")</f>
        <v>Loading...</v>
      </c>
      <c r="X17" s="92" t="str">
        <f>IFERROR(__xludf.DUMMYFUNCTION("IMPORTXML(""https://nominatim.openstreetmap.org/search?q=""&amp;SUBSTITUTE($V17,"" "",""+"")&amp;""+Solo&amp;format=xml&amp;limit=1"",""//place/@lon"")"),"#N/A")</f>
        <v>#N/A</v>
      </c>
      <c r="Z17" s="2" t="s">
        <v>593</v>
      </c>
      <c r="AA17" s="92" t="str">
        <f>IFERROR(__xludf.DUMMYFUNCTION("IMPORTXML(""https://nominatim.openstreetmap.org/search?q=""&amp;SUBSTITUTE($Z17,"" "",""+"")&amp;""+Solo&amp;format=xml&amp;limit=1"",""//place/@lat"")"),"Loading...")</f>
        <v>Loading...</v>
      </c>
      <c r="AB17" s="92" t="str">
        <f>IFERROR(__xludf.DUMMYFUNCTION("IMPORTXML(""https://nominatim.openstreetmap.org/search?q=""&amp;SUBSTITUTE($Z17,"" "",""+"")&amp;""+Solo&amp;format=xml&amp;limit=1"",""//place/@lon"")"),"#N/A")</f>
        <v>#N/A</v>
      </c>
      <c r="AD17" s="2" t="s">
        <v>424</v>
      </c>
      <c r="AE17" s="92" t="str">
        <f>IFERROR(__xludf.DUMMYFUNCTION("IMPORTXML(""https://nominatim.openstreetmap.org/search?q=""&amp;SUBSTITUTE($AD17,"" "",""+"")&amp;""+Solo&amp;format=xml&amp;limit=1"",""//place/@lat"")"),"Loading...")</f>
        <v>Loading...</v>
      </c>
      <c r="AF17" s="92" t="str">
        <f>IFERROR(__xludf.DUMMYFUNCTION("IMPORTXML(""https://nominatim.openstreetmap.org/search?q=""&amp;SUBSTITUTE($AD17,"" "",""+"")&amp;""+Solo&amp;format=xml&amp;limit=1"",""//place/@lon"")"),"Loading...")</f>
        <v>Loading...</v>
      </c>
      <c r="AH17" s="2" t="s">
        <v>440</v>
      </c>
      <c r="AI17" s="92" t="str">
        <f>IFERROR(__xludf.DUMMYFUNCTION("IMPORTXML(""https://nominatim.openstreetmap.org/search?q=""&amp;SUBSTITUTE($AH17,"" "",""+"")&amp;""+Solo&amp;format=xml&amp;limit=1"",""//place/@lat"")"),"#N/A")</f>
        <v>#N/A</v>
      </c>
      <c r="AJ17" s="92" t="str">
        <f>IFERROR(__xludf.DUMMYFUNCTION("IMPORTXML(""https://nominatim.openstreetmap.org/search?q=""&amp;SUBSTITUTE($AH17,"" "",""+"")&amp;""+Solo&amp;format=xml&amp;limit=1"",""//place/@lon"")"),"Loading...")</f>
        <v>Loading...</v>
      </c>
      <c r="AL17" s="2" t="s">
        <v>594</v>
      </c>
      <c r="AM17" s="92" t="str">
        <f>IFERROR(__xludf.DUMMYFUNCTION("IMPORTXML(""https://nominatim.openstreetmap.org/search?q=""&amp;SUBSTITUTE($AL17,"" "",""+"")&amp;""+Solo&amp;format=xml&amp;limit=1"",""//place/@lat"")"),"#N/A")</f>
        <v>#N/A</v>
      </c>
      <c r="AN17" s="2" t="str">
        <f>IFERROR(__xludf.DUMMYFUNCTION("IMPORTXML(""https://nominatim.openstreetmap.org/search?q=""&amp;SUBSTITUTE($AL17,"" "",""+"")&amp;""+Solo&amp;format=xml&amp;limit=1"",""//place/@lon"")"),"Loading...")</f>
        <v>Loading...</v>
      </c>
    </row>
    <row r="18">
      <c r="A18" s="92" t="s">
        <v>595</v>
      </c>
      <c r="B18" s="92" t="str">
        <f>IFERROR(__xludf.DUMMYFUNCTION("IMPORTXML(""https://nominatim.openstreetmap.org/search?q=""&amp;SUBSTITUTE($A18,"" "",""+"")&amp;""+Solo&amp;format=xml&amp;limit=1"",""//place/@lat"")"),"#N/A")</f>
        <v>#N/A</v>
      </c>
      <c r="C18" s="92" t="str">
        <f>IFERROR(__xludf.DUMMYFUNCTION("IMPORTXML(""https://nominatim.openstreetmap.org/search?q=""&amp;SUBSTITUTE($A18,"" "",""+"")&amp;""+Solo&amp;format=xml&amp;limit=1"",""//place/@lon"")"),"Loading...")</f>
        <v>Loading...</v>
      </c>
      <c r="F18" s="2" t="s">
        <v>596</v>
      </c>
      <c r="G18" s="92" t="str">
        <f>IFERROR(__xludf.DUMMYFUNCTION("IMPORTXML(""https://nominatim.openstreetmap.org/search?q=""&amp;SUBSTITUTE($F18,"" "",""+"")&amp;""+Solo&amp;format=xml&amp;limit=1"",""//place/@lat"")"),"Loading...")</f>
        <v>Loading...</v>
      </c>
      <c r="H18" s="92" t="str">
        <f>IFERROR(__xludf.DUMMYFUNCTION("IMPORTXML(""https://nominatim.openstreetmap.org/search?q=""&amp;SUBSTITUTE($F18,"" "",""+"")&amp;""+Solo&amp;format=xml&amp;limit=1"",""//place/@lon"")"),"Loading...")</f>
        <v>Loading...</v>
      </c>
      <c r="J18" s="2" t="s">
        <v>597</v>
      </c>
      <c r="K18" s="92" t="str">
        <f>IFERROR(__xludf.DUMMYFUNCTION("IMPORTXML(""https://nominatim.openstreetmap.org/search?q=""&amp;SUBSTITUTE($J18,"" "",""+"")&amp;""+Solo&amp;format=xml&amp;limit=1"",""//place/@lat"")"),"Loading...")</f>
        <v>Loading...</v>
      </c>
      <c r="L18" s="92" t="str">
        <f>IFERROR(__xludf.DUMMYFUNCTION("IMPORTXML(""https://nominatim.openstreetmap.org/search?q=""&amp;SUBSTITUTE($J18,"" "",""+"")&amp;""+Solo&amp;format=xml&amp;limit=1"",""//place/@lon"")"),"Loading...")</f>
        <v>Loading...</v>
      </c>
      <c r="N18" s="2" t="s">
        <v>313</v>
      </c>
      <c r="O18" s="92" t="str">
        <f>IFERROR(__xludf.DUMMYFUNCTION("IMPORTXML(""https://nominatim.openstreetmap.org/search?q=""&amp;SUBSTITUTE($N18,"" "",""+"")&amp;""&amp;format=xml&amp;limit=1"",""//place/@lat"")"),"Loading...")</f>
        <v>Loading...</v>
      </c>
      <c r="P18" s="92" t="str">
        <f>IFERROR(__xludf.DUMMYFUNCTION("IMPORTXML(""https://nominatim.openstreetmap.org/search?q=""&amp;SUBSTITUTE($N18,"" "",""+"")&amp;""+Solo&amp;format=xml&amp;limit=1"",""//place/@lon"")"),"#N/A")</f>
        <v>#N/A</v>
      </c>
      <c r="R18" s="2" t="s">
        <v>598</v>
      </c>
      <c r="S18" s="92" t="str">
        <f>IFERROR(__xludf.DUMMYFUNCTION("IMPORTXML(""https://nominatim.openstreetmap.org/search?q=""&amp;SUBSTITUTE($R18,"" "",""+"")&amp;""+Solo&amp;format=xml&amp;limit=1"",""//place/@lat"")"),"Loading...")</f>
        <v>Loading...</v>
      </c>
      <c r="T18" s="92" t="str">
        <f>IFERROR(__xludf.DUMMYFUNCTION("IMPORTXML(""https://nominatim.openstreetmap.org/search?q=""&amp;SUBSTITUTE($R18,"" "",""+"")&amp;""+Solo&amp;format=xml&amp;limit=1"",""//place/@lon"")"),"Loading...")</f>
        <v>Loading...</v>
      </c>
      <c r="V18" s="2" t="s">
        <v>395</v>
      </c>
      <c r="W18" s="92" t="str">
        <f>IFERROR(__xludf.DUMMYFUNCTION("IMPORTXML(""https://nominatim.openstreetmap.org/search?q=""&amp;SUBSTITUTE($V18,"" "",""+"")&amp;""+Solo&amp;format=xml&amp;limit=1"",""//place/@lat"")"),"#N/A")</f>
        <v>#N/A</v>
      </c>
      <c r="X18" s="92" t="str">
        <f>IFERROR(__xludf.DUMMYFUNCTION("IMPORTXML(""https://nominatim.openstreetmap.org/search?q=""&amp;SUBSTITUTE($V18,"" "",""+"")&amp;""+Solo&amp;format=xml&amp;limit=1"",""//place/@lon"")"),"Loading...")</f>
        <v>Loading...</v>
      </c>
      <c r="Z18" s="2" t="s">
        <v>599</v>
      </c>
      <c r="AA18" s="92" t="str">
        <f>IFERROR(__xludf.DUMMYFUNCTION("IMPORTXML(""https://nominatim.openstreetmap.org/search?q=""&amp;SUBSTITUTE($Z18,"" "",""+"")&amp;""+Solo&amp;format=xml&amp;limit=1"",""//place/@lat"")"),"#N/A")</f>
        <v>#N/A</v>
      </c>
      <c r="AB18" s="92" t="str">
        <f>IFERROR(__xludf.DUMMYFUNCTION("IMPORTXML(""https://nominatim.openstreetmap.org/search?q=""&amp;SUBSTITUTE($Z18,"" "",""+"")&amp;""+Solo&amp;format=xml&amp;limit=1"",""//place/@lon"")"),"Loading...")</f>
        <v>Loading...</v>
      </c>
      <c r="AD18" s="2" t="s">
        <v>425</v>
      </c>
      <c r="AE18" s="92" t="str">
        <f>IFERROR(__xludf.DUMMYFUNCTION("IMPORTXML(""https://nominatim.openstreetmap.org/search?q=""&amp;SUBSTITUTE($AD18,"" "",""+"")&amp;""+Solo&amp;format=xml&amp;limit=1"",""//place/@lat"")"),"#N/A")</f>
        <v>#N/A</v>
      </c>
      <c r="AF18" s="92">
        <f>IFERROR(__xludf.DUMMYFUNCTION("IMPORTXML(""https://nominatim.openstreetmap.org/search?q=""&amp;SUBSTITUTE($AD18,"" "",""+"")&amp;""+Solo&amp;format=xml&amp;limit=1"",""//place/@lon"")"),110.8234113)</f>
        <v>110.8234113</v>
      </c>
      <c r="AH18" s="2" t="s">
        <v>441</v>
      </c>
      <c r="AI18" s="92" t="str">
        <f>IFERROR(__xludf.DUMMYFUNCTION("IMPORTXML(""https://nominatim.openstreetmap.org/search?q=""&amp;SUBSTITUTE($AH18,"" "",""+"")&amp;""+Solo&amp;format=xml&amp;limit=1"",""//place/@lat"")"),"Loading...")</f>
        <v>Loading...</v>
      </c>
      <c r="AJ18" s="92" t="str">
        <f>IFERROR(__xludf.DUMMYFUNCTION("IMPORTXML(""https://nominatim.openstreetmap.org/search?q=""&amp;SUBSTITUTE($AH18,"" "",""+"")&amp;""+Solo&amp;format=xml&amp;limit=1"",""//place/@lon"")"),"#N/A")</f>
        <v>#N/A</v>
      </c>
      <c r="AL18" s="2" t="s">
        <v>600</v>
      </c>
      <c r="AM18" s="92" t="str">
        <f>IFERROR(__xludf.DUMMYFUNCTION("IMPORTXML(""https://nominatim.openstreetmap.org/search?q=""&amp;SUBSTITUTE($AL18,"" "",""+"")&amp;""+Solo&amp;format=xml&amp;limit=1"",""//place/@lat"")"),"#N/A")</f>
        <v>#N/A</v>
      </c>
      <c r="AN18" s="2" t="str">
        <f>IFERROR(__xludf.DUMMYFUNCTION("IMPORTXML(""https://nominatim.openstreetmap.org/search?q=""&amp;SUBSTITUTE($AL18,"" "",""+"")&amp;""+Solo&amp;format=xml&amp;limit=1"",""//place/@lon"")"),"Loading...")</f>
        <v>Loading...</v>
      </c>
    </row>
    <row r="19">
      <c r="A19" s="92" t="s">
        <v>69</v>
      </c>
      <c r="B19" s="92" t="str">
        <f>IFERROR(__xludf.DUMMYFUNCTION("IMPORTXML(""https://nominatim.openstreetmap.org/search?q=""&amp;SUBSTITUTE($A19,"" "",""+"")&amp;""+Solo&amp;format=xml&amp;limit=1"",""//place/@lat"")"),"Loading...")</f>
        <v>Loading...</v>
      </c>
      <c r="C19" s="92" t="str">
        <f>IFERROR(__xludf.DUMMYFUNCTION("IMPORTXML(""https://nominatim.openstreetmap.org/search?q=""&amp;SUBSTITUTE($A19,"" "",""+"")&amp;""+Solo&amp;format=xml&amp;limit=1"",""//place/@lon"")"),"#N/A")</f>
        <v>#N/A</v>
      </c>
      <c r="F19" s="2" t="s">
        <v>502</v>
      </c>
      <c r="G19" s="92" t="str">
        <f>IFERROR(__xludf.DUMMYFUNCTION("IMPORTXML(""https://nominatim.openstreetmap.org/search?q=""&amp;SUBSTITUTE($F19,"" "",""+"")&amp;""+Solo&amp;format=xml&amp;limit=1"",""//place/@lat"")"),"Loading...")</f>
        <v>Loading...</v>
      </c>
      <c r="H19" s="92" t="str">
        <f>IFERROR(__xludf.DUMMYFUNCTION("IMPORTXML(""https://nominatim.openstreetmap.org/search?q=""&amp;SUBSTITUTE($F19,"" "",""+"")&amp;""+Solo&amp;format=xml&amp;limit=1"",""//place/@lon"")"),"#N/A")</f>
        <v>#N/A</v>
      </c>
      <c r="J19" s="2" t="s">
        <v>292</v>
      </c>
      <c r="K19" s="92" t="str">
        <f>IFERROR(__xludf.DUMMYFUNCTION("IMPORTXML(""https://nominatim.openstreetmap.org/search?q=""&amp;SUBSTITUTE($J19,"" "",""+"")&amp;""+Solo&amp;format=xml&amp;limit=1"",""//place/@lat"")"),"Loading...")</f>
        <v>Loading...</v>
      </c>
      <c r="L19" s="92" t="str">
        <f>IFERROR(__xludf.DUMMYFUNCTION("IMPORTXML(""https://nominatim.openstreetmap.org/search?q=""&amp;SUBSTITUTE($J19,"" "",""+"")&amp;""+Solo&amp;format=xml&amp;limit=1"",""//place/@lon"")"),"#N/A")</f>
        <v>#N/A</v>
      </c>
      <c r="N19" s="2" t="s">
        <v>314</v>
      </c>
      <c r="O19" s="92" t="str">
        <f>IFERROR(__xludf.DUMMYFUNCTION("IMPORTXML(""https://nominatim.openstreetmap.org/search?q=""&amp;SUBSTITUTE($N19,"" "",""+"")&amp;""&amp;format=xml&amp;limit=1"",""//place/@lat"")"),"Loading...")</f>
        <v>Loading...</v>
      </c>
      <c r="P19" s="92" t="str">
        <f>IFERROR(__xludf.DUMMYFUNCTION("IMPORTXML(""https://nominatim.openstreetmap.org/search?q=""&amp;SUBSTITUTE($N19,"" "",""+"")&amp;""+Solo&amp;format=xml&amp;limit=1"",""//place/@lon"")"),"Loading...")</f>
        <v>Loading...</v>
      </c>
      <c r="R19" s="2" t="s">
        <v>601</v>
      </c>
      <c r="S19" s="92" t="str">
        <f>IFERROR(__xludf.DUMMYFUNCTION("IMPORTXML(""https://nominatim.openstreetmap.org/search?q=""&amp;SUBSTITUTE($R19,"" "",""+"")&amp;""+Solo&amp;format=xml&amp;limit=1"",""//place/@lat"")"),"Loading...")</f>
        <v>Loading...</v>
      </c>
      <c r="T19" s="92" t="str">
        <f>IFERROR(__xludf.DUMMYFUNCTION("IMPORTXML(""https://nominatim.openstreetmap.org/search?q=""&amp;SUBSTITUTE($R19,"" "",""+"")&amp;""+Solo&amp;format=xml&amp;limit=1"",""//place/@lon"")"),"#N/A")</f>
        <v>#N/A</v>
      </c>
      <c r="V19" s="2" t="s">
        <v>397</v>
      </c>
      <c r="W19" s="92" t="str">
        <f>IFERROR(__xludf.DUMMYFUNCTION("IMPORTXML(""https://nominatim.openstreetmap.org/search?q=""&amp;SUBSTITUTE($V19,"" "",""+"")&amp;""+Solo&amp;format=xml&amp;limit=1"",""//place/@lat"")"),"Loading...")</f>
        <v>Loading...</v>
      </c>
      <c r="X19" s="92" t="str">
        <f>IFERROR(__xludf.DUMMYFUNCTION("IMPORTXML(""https://nominatim.openstreetmap.org/search?q=""&amp;SUBSTITUTE($V19,"" "",""+"")&amp;""+Solo&amp;format=xml&amp;limit=1"",""//place/@lon"")"),"#N/A")</f>
        <v>#N/A</v>
      </c>
      <c r="Z19" s="2" t="s">
        <v>602</v>
      </c>
      <c r="AA19" s="92" t="str">
        <f>IFERROR(__xludf.DUMMYFUNCTION("IMPORTXML(""https://nominatim.openstreetmap.org/search?q=""&amp;SUBSTITUTE($Z19,"" "",""+"")&amp;""+Solo&amp;format=xml&amp;limit=1"",""//place/@lat"")"),"#N/A")</f>
        <v>#N/A</v>
      </c>
      <c r="AB19" s="92" t="str">
        <f>IFERROR(__xludf.DUMMYFUNCTION("IMPORTXML(""https://nominatim.openstreetmap.org/search?q=""&amp;SUBSTITUTE($Z19,"" "",""+"")&amp;""+Solo&amp;format=xml&amp;limit=1"",""//place/@lon"")"),"#N/A")</f>
        <v>#N/A</v>
      </c>
      <c r="AD19" s="2" t="s">
        <v>426</v>
      </c>
      <c r="AE19" s="92" t="str">
        <f>IFERROR(__xludf.DUMMYFUNCTION("IMPORTXML(""https://nominatim.openstreetmap.org/search?q=""&amp;SUBSTITUTE($AD19,"" "",""+"")&amp;""+Solo&amp;format=xml&amp;limit=1"",""//place/@lat"")"),"#N/A")</f>
        <v>#N/A</v>
      </c>
      <c r="AF19" s="92" t="str">
        <f>IFERROR(__xludf.DUMMYFUNCTION("IMPORTXML(""https://nominatim.openstreetmap.org/search?q=""&amp;SUBSTITUTE($AD19,"" "",""+"")&amp;""+Solo&amp;format=xml&amp;limit=1"",""//place/@lon"")"),"Loading...")</f>
        <v>Loading...</v>
      </c>
      <c r="AH19" s="2" t="s">
        <v>442</v>
      </c>
      <c r="AI19" s="92" t="str">
        <f>IFERROR(__xludf.DUMMYFUNCTION("IMPORTXML(""https://nominatim.openstreetmap.org/search?q=""&amp;SUBSTITUTE($AH19,"" "",""+"")&amp;""+Solo&amp;format=xml&amp;limit=1"",""//place/@lat"")"),"Loading...")</f>
        <v>Loading...</v>
      </c>
      <c r="AJ19" s="92" t="str">
        <f>IFERROR(__xludf.DUMMYFUNCTION("IMPORTXML(""https://nominatim.openstreetmap.org/search?q=""&amp;SUBSTITUTE($AH19,"" "",""+"")&amp;""+Solo&amp;format=xml&amp;limit=1"",""//place/@lon"")"),"Loading...")</f>
        <v>Loading...</v>
      </c>
      <c r="AL19" s="2" t="s">
        <v>603</v>
      </c>
      <c r="AM19" s="92" t="str">
        <f>IFERROR(__xludf.DUMMYFUNCTION("IMPORTXML(""https://nominatim.openstreetmap.org/search?q=""&amp;SUBSTITUTE($AL19,"" "",""+"")&amp;""+Solo&amp;format=xml&amp;limit=1"",""//place/@lat"")"),"Loading...")</f>
        <v>Loading...</v>
      </c>
      <c r="AN19" s="2" t="str">
        <f>IFERROR(__xludf.DUMMYFUNCTION("IMPORTXML(""https://nominatim.openstreetmap.org/search?q=""&amp;SUBSTITUTE($AL19,"" "",""+"")&amp;""+Solo&amp;format=xml&amp;limit=1"",""//place/@lon"")"),"Loading...")</f>
        <v>Loading...</v>
      </c>
    </row>
    <row r="20">
      <c r="A20" s="92" t="s">
        <v>70</v>
      </c>
      <c r="B20" s="92" t="str">
        <f>IFERROR(__xludf.DUMMYFUNCTION("IMPORTXML(""https://nominatim.openstreetmap.org/search?q=""&amp;SUBSTITUTE($A20,"" "",""+"")&amp;""+Solo&amp;format=xml&amp;limit=1"",""//place/@lat"")"),"Loading...")</f>
        <v>Loading...</v>
      </c>
      <c r="C20" s="92" t="str">
        <f>IFERROR(__xludf.DUMMYFUNCTION("IMPORTXML(""https://nominatim.openstreetmap.org/search?q=""&amp;SUBSTITUTE($A20,"" "",""+"")&amp;""+Solo&amp;format=xml&amp;limit=1"",""//place/@lon"")"),"Loading...")</f>
        <v>Loading...</v>
      </c>
      <c r="F20" s="2" t="s">
        <v>503</v>
      </c>
      <c r="G20" s="92" t="str">
        <f>IFERROR(__xludf.DUMMYFUNCTION("IMPORTXML(""https://nominatim.openstreetmap.org/search?q=""&amp;SUBSTITUTE($F20,"" "",""+"")&amp;""+Solo&amp;format=xml&amp;limit=1"",""//place/@lat"")"),"Loading...")</f>
        <v>Loading...</v>
      </c>
      <c r="H20" s="92" t="str">
        <f>IFERROR(__xludf.DUMMYFUNCTION("IMPORTXML(""https://nominatim.openstreetmap.org/search?q=""&amp;SUBSTITUTE($F20,"" "",""+"")&amp;""+Solo&amp;format=xml&amp;limit=1"",""//place/@lon"")"),"Loading...")</f>
        <v>Loading...</v>
      </c>
      <c r="J20" s="2" t="s">
        <v>604</v>
      </c>
      <c r="K20" s="92" t="str">
        <f>IFERROR(__xludf.DUMMYFUNCTION("IMPORTXML(""https://nominatim.openstreetmap.org/search?q=""&amp;SUBSTITUTE($J20,"" "",""+"")&amp;""+Solo&amp;format=xml&amp;limit=1"",""//place/@lat"")"),"#N/A")</f>
        <v>#N/A</v>
      </c>
      <c r="L20" s="92" t="str">
        <f>IFERROR(__xludf.DUMMYFUNCTION("IMPORTXML(""https://nominatim.openstreetmap.org/search?q=""&amp;SUBSTITUTE($J20,"" "",""+"")&amp;""+Solo&amp;format=xml&amp;limit=1"",""//place/@lon"")"),"Loading...")</f>
        <v>Loading...</v>
      </c>
      <c r="N20" s="2" t="s">
        <v>605</v>
      </c>
      <c r="O20" s="92" t="str">
        <f>IFERROR(__xludf.DUMMYFUNCTION("IMPORTXML(""https://nominatim.openstreetmap.org/search?q=""&amp;SUBSTITUTE($N20,"" "",""+"")&amp;""+Solo&amp;format=xml&amp;limit=1"",""//place/@lat"")"),"Loading...")</f>
        <v>Loading...</v>
      </c>
      <c r="P20" s="92" t="str">
        <f>IFERROR(__xludf.DUMMYFUNCTION("IMPORTXML(""https://nominatim.openstreetmap.org/search?q=""&amp;SUBSTITUTE($N20,"" "",""+"")&amp;""+Solo&amp;format=xml&amp;limit=1"",""//place/@lon"")"),"Loading...")</f>
        <v>Loading...</v>
      </c>
      <c r="R20" s="2" t="s">
        <v>347</v>
      </c>
      <c r="S20" s="92" t="str">
        <f>IFERROR(__xludf.DUMMYFUNCTION("IMPORTXML(""https://nominatim.openstreetmap.org/search?q=""&amp;SUBSTITUTE($R20,"" "",""+"")&amp;""+Solo&amp;format=xml&amp;limit=1"",""//place/@lat"")"),"Loading...")</f>
        <v>Loading...</v>
      </c>
      <c r="T20" s="92" t="str">
        <f>IFERROR(__xludf.DUMMYFUNCTION("IMPORTXML(""https://nominatim.openstreetmap.org/search?q=""&amp;SUBSTITUTE($R20,"" "",""+"")&amp;""+Solo&amp;format=xml&amp;limit=1"",""//place/@lon"")"),"#N/A")</f>
        <v>#N/A</v>
      </c>
      <c r="V20" s="2" t="s">
        <v>606</v>
      </c>
      <c r="W20" s="92" t="str">
        <f>IFERROR(__xludf.DUMMYFUNCTION("IMPORTXML(""https://nominatim.openstreetmap.org/search?q=""&amp;SUBSTITUTE($V20,"" "",""+"")&amp;""+Solo&amp;format=xml&amp;limit=1"",""//place/@lat"")"),"Loading...")</f>
        <v>Loading...</v>
      </c>
      <c r="X20" s="92" t="str">
        <f>IFERROR(__xludf.DUMMYFUNCTION("IMPORTXML(""https://nominatim.openstreetmap.org/search?q=""&amp;SUBSTITUTE($V20,"" "",""+"")&amp;""+Solo&amp;format=xml&amp;limit=1"",""//place/@lon"")"),"Loading...")</f>
        <v>Loading...</v>
      </c>
      <c r="Z20" s="2" t="s">
        <v>607</v>
      </c>
      <c r="AA20" s="92" t="str">
        <f>IFERROR(__xludf.DUMMYFUNCTION("IMPORTXML(""https://nominatim.openstreetmap.org/search?q=""&amp;SUBSTITUTE($Z20,"" "",""+"")&amp;""+Solo&amp;format=xml&amp;limit=1"",""//place/@lat"")"),"Loading...")</f>
        <v>Loading...</v>
      </c>
      <c r="AB20" s="92" t="str">
        <f>IFERROR(__xludf.DUMMYFUNCTION("IMPORTXML(""https://nominatim.openstreetmap.org/search?q=""&amp;SUBSTITUTE($Z20,"" "",""+"")&amp;""+Solo&amp;format=xml&amp;limit=1"",""//place/@lon"")"),"Loading...")</f>
        <v>Loading...</v>
      </c>
      <c r="AD20" s="2" t="s">
        <v>427</v>
      </c>
      <c r="AE20" s="92" t="str">
        <f>IFERROR(__xludf.DUMMYFUNCTION("IMPORTXML(""https://nominatim.openstreetmap.org/search?q=""&amp;SUBSTITUTE($AD20,"" "",""+"")&amp;""+Solo&amp;format=xml&amp;limit=1"",""//place/@lat"")"),"Loading...")</f>
        <v>Loading...</v>
      </c>
      <c r="AF20" s="92" t="str">
        <f>IFERROR(__xludf.DUMMYFUNCTION("IMPORTXML(""https://nominatim.openstreetmap.org/search?q=""&amp;SUBSTITUTE($AD20,"" "",""+"")&amp;""+Solo&amp;format=xml&amp;limit=1"",""//place/@lon"")"),"Loading...")</f>
        <v>Loading...</v>
      </c>
      <c r="AH20" s="2" t="s">
        <v>198</v>
      </c>
      <c r="AI20" s="92" t="str">
        <f>IFERROR(__xludf.DUMMYFUNCTION("IMPORTXML(""https://nominatim.openstreetmap.org/search?q=""&amp;SUBSTITUTE($AH20,"" "",""+"")&amp;""+Solo&amp;format=xml&amp;limit=1"",""//place/@lat"")"),"#N/A")</f>
        <v>#N/A</v>
      </c>
      <c r="AJ20" s="92" t="str">
        <f>IFERROR(__xludf.DUMMYFUNCTION("IMPORTXML(""https://nominatim.openstreetmap.org/search?q=""&amp;SUBSTITUTE($AH20,"" "",""+"")&amp;""+Solo&amp;format=xml&amp;limit=1"",""//place/@lon"")"),"Loading...")</f>
        <v>Loading...</v>
      </c>
      <c r="AL20" s="2" t="s">
        <v>608</v>
      </c>
      <c r="AM20" s="92" t="str">
        <f>IFERROR(__xludf.DUMMYFUNCTION("IMPORTXML(""https://nominatim.openstreetmap.org/search?q=""&amp;SUBSTITUTE($AL20,"" "",""+"")&amp;""+Solo&amp;format=xml&amp;limit=1"",""//place/@lat"")"),"#N/A")</f>
        <v>#N/A</v>
      </c>
      <c r="AN20" s="2" t="str">
        <f>IFERROR(__xludf.DUMMYFUNCTION("IMPORTXML(""https://nominatim.openstreetmap.org/search?q=""&amp;SUBSTITUTE($AL20,"" "",""+"")&amp;""+Solo&amp;format=xml&amp;limit=1"",""//place/@lon"")"),"Loading...")</f>
        <v>Loading...</v>
      </c>
    </row>
    <row r="21">
      <c r="A21" s="92" t="s">
        <v>71</v>
      </c>
      <c r="B21" s="92" t="str">
        <f>IFERROR(__xludf.DUMMYFUNCTION("IMPORTXML(""https://nominatim.openstreetmap.org/search?q=""&amp;SUBSTITUTE($A21,"" "",""+"")&amp;""+Solo&amp;format=xml&amp;limit=1"",""//place/@lat"")"),"#N/A")</f>
        <v>#N/A</v>
      </c>
      <c r="C21" s="92" t="str">
        <f>IFERROR(__xludf.DUMMYFUNCTION("IMPORTXML(""https://nominatim.openstreetmap.org/search?q=""&amp;SUBSTITUTE($A21,"" "",""+"")&amp;""+Solo&amp;format=xml&amp;limit=1"",""//place/@lon"")"),"Loading...")</f>
        <v>Loading...</v>
      </c>
      <c r="F21" s="2" t="s">
        <v>504</v>
      </c>
      <c r="G21" s="92" t="str">
        <f>IFERROR(__xludf.DUMMYFUNCTION("IMPORTXML(""https://nominatim.openstreetmap.org/search?q=""&amp;SUBSTITUTE($F21,"" "",""+"")&amp;""+Solo&amp;format=xml&amp;limit=1"",""//place/@lat"")"),"Loading...")</f>
        <v>Loading...</v>
      </c>
      <c r="H21" s="92" t="str">
        <f>IFERROR(__xludf.DUMMYFUNCTION("IMPORTXML(""https://nominatim.openstreetmap.org/search?q=""&amp;SUBSTITUTE($F21,"" "",""+"")&amp;""+Solo&amp;format=xml&amp;limit=1"",""//place/@lon"")"),"#N/A")</f>
        <v>#N/A</v>
      </c>
      <c r="J21" s="2" t="s">
        <v>609</v>
      </c>
      <c r="K21" s="92" t="str">
        <f>IFERROR(__xludf.DUMMYFUNCTION("IMPORTXML(""https://nominatim.openstreetmap.org/search?q=""&amp;SUBSTITUTE($J21,"" "",""+"")&amp;""+Solo&amp;format=xml&amp;limit=1"",""//place/@lat"")"),"Loading...")</f>
        <v>Loading...</v>
      </c>
      <c r="L21" s="92" t="str">
        <f>IFERROR(__xludf.DUMMYFUNCTION("IMPORTXML(""https://nominatim.openstreetmap.org/search?q=""&amp;SUBSTITUTE($J21,"" "",""+"")&amp;""+Solo&amp;format=xml&amp;limit=1"",""//place/@lon"")"),"Loading...")</f>
        <v>Loading...</v>
      </c>
      <c r="N21" s="2" t="s">
        <v>610</v>
      </c>
      <c r="O21" s="92" t="str">
        <f>IFERROR(__xludf.DUMMYFUNCTION("IMPORTXML(""https://nominatim.openstreetmap.org/search?q=""&amp;SUBSTITUTE($N21,"" "",""+"")&amp;""+Solo&amp;format=xml&amp;limit=1"",""//place/@lat"")"),"Loading...")</f>
        <v>Loading...</v>
      </c>
      <c r="P21" s="92" t="str">
        <f>IFERROR(__xludf.DUMMYFUNCTION("IMPORTXML(""https://nominatim.openstreetmap.org/search?q=""&amp;SUBSTITUTE($N21,"" "",""+"")&amp;""+Solo&amp;format=xml&amp;limit=1"",""//place/@lon"")"),"Loading...")</f>
        <v>Loading...</v>
      </c>
      <c r="R21" s="2" t="s">
        <v>348</v>
      </c>
      <c r="S21" s="92" t="str">
        <f>IFERROR(__xludf.DUMMYFUNCTION("IMPORTXML(""https://nominatim.openstreetmap.org/search?q=""&amp;SUBSTITUTE($R21,"" "",""+"")&amp;""+Solo&amp;format=xml&amp;limit=1"",""//place/@lat"")"),"Loading...")</f>
        <v>Loading...</v>
      </c>
      <c r="T21" s="92" t="str">
        <f>IFERROR(__xludf.DUMMYFUNCTION("IMPORTXML(""https://nominatim.openstreetmap.org/search?q=""&amp;SUBSTITUTE($R21,"" "",""+"")&amp;""+Solo&amp;format=xml&amp;limit=1"",""//place/@lon"")"),"Loading...")</f>
        <v>Loading...</v>
      </c>
      <c r="V21" s="2" t="s">
        <v>611</v>
      </c>
      <c r="W21" s="92" t="str">
        <f>IFERROR(__xludf.DUMMYFUNCTION("IMPORTXML(""https://nominatim.openstreetmap.org/search?q=""&amp;SUBSTITUTE($V21,"" "",""+"")&amp;""+Solo&amp;format=xml&amp;limit=1"",""//place/@lat"")"),"Loading...")</f>
        <v>Loading...</v>
      </c>
      <c r="X21" s="92" t="str">
        <f>IFERROR(__xludf.DUMMYFUNCTION("IMPORTXML(""https://nominatim.openstreetmap.org/search?q=""&amp;SUBSTITUTE($V21,"" "",""+"")&amp;""+Solo&amp;format=xml&amp;limit=1"",""//place/@lon"")"),"Loading...")</f>
        <v>Loading...</v>
      </c>
      <c r="Z21" s="2" t="s">
        <v>612</v>
      </c>
      <c r="AA21" s="92" t="str">
        <f>IFERROR(__xludf.DUMMYFUNCTION("IMPORTXML(""https://nominatim.openstreetmap.org/search?q=""&amp;SUBSTITUTE($Z21,"" "",""+"")&amp;""+Solo&amp;format=xml&amp;limit=1"",""//place/@lat"")"),"Loading...")</f>
        <v>Loading...</v>
      </c>
      <c r="AB21" s="92" t="str">
        <f>IFERROR(__xludf.DUMMYFUNCTION("IMPORTXML(""https://nominatim.openstreetmap.org/search?q=""&amp;SUBSTITUTE($Z21,"" "",""+"")&amp;""+Solo&amp;format=xml&amp;limit=1"",""//place/@lon"")"),"Loading...")</f>
        <v>Loading...</v>
      </c>
      <c r="AD21" s="2" t="s">
        <v>428</v>
      </c>
      <c r="AE21" s="92" t="str">
        <f>IFERROR(__xludf.DUMMYFUNCTION("IMPORTXML(""https://nominatim.openstreetmap.org/search?q=""&amp;SUBSTITUTE($AD21,"" "",""+"")&amp;""+Solo&amp;format=xml&amp;limit=1"",""//place/@lat"")"),"#N/A")</f>
        <v>#N/A</v>
      </c>
      <c r="AF21" s="92" t="str">
        <f>IFERROR(__xludf.DUMMYFUNCTION("IMPORTXML(""https://nominatim.openstreetmap.org/search?q=""&amp;SUBSTITUTE($AD21,"" "",""+"")&amp;""+Solo&amp;format=xml&amp;limit=1"",""//place/@lon"")"),"Loading...")</f>
        <v>Loading...</v>
      </c>
      <c r="AH21" s="2" t="s">
        <v>443</v>
      </c>
      <c r="AI21" s="92" t="str">
        <f>IFERROR(__xludf.DUMMYFUNCTION("IMPORTXML(""https://nominatim.openstreetmap.org/search?q=""&amp;SUBSTITUTE($AH21,"" "",""+"")&amp;""+Solo&amp;format=xml&amp;limit=1"",""//place/@lat"")"),"Loading...")</f>
        <v>Loading...</v>
      </c>
      <c r="AJ21" s="92" t="str">
        <f>IFERROR(__xludf.DUMMYFUNCTION("IMPORTXML(""https://nominatim.openstreetmap.org/search?q=""&amp;SUBSTITUTE($AH21,"" "",""+"")&amp;""+Solo&amp;format=xml&amp;limit=1"",""//place/@lon"")"),"Loading...")</f>
        <v>Loading...</v>
      </c>
      <c r="AL21" s="2" t="s">
        <v>613</v>
      </c>
      <c r="AM21" s="92" t="str">
        <f>IFERROR(__xludf.DUMMYFUNCTION("IMPORTXML(""https://nominatim.openstreetmap.org/search?q=""&amp;SUBSTITUTE($AL21,"" "",""+"")&amp;""+Solo&amp;format=xml&amp;limit=1"",""//place/@lat"")"),"Loading...")</f>
        <v>Loading...</v>
      </c>
      <c r="AN21" s="2" t="str">
        <f>IFERROR(__xludf.DUMMYFUNCTION("IMPORTXML(""https://nominatim.openstreetmap.org/search?q=""&amp;SUBSTITUTE($AL21,"" "",""+"")&amp;""+Solo&amp;format=xml&amp;limit=1"",""//place/@lon"")"),"#N/A")</f>
        <v>#N/A</v>
      </c>
    </row>
    <row r="22">
      <c r="A22" s="92" t="s">
        <v>75</v>
      </c>
      <c r="B22" s="92" t="str">
        <f>IFERROR(__xludf.DUMMYFUNCTION("IMPORTXML(""https://nominatim.openstreetmap.org/search?q=""&amp;SUBSTITUTE($A22,"" "",""+"")&amp;""+Solo&amp;format=xml&amp;limit=1"",""//place/@lat"")"),"Loading...")</f>
        <v>Loading...</v>
      </c>
      <c r="C22" s="92" t="str">
        <f>IFERROR(__xludf.DUMMYFUNCTION("IMPORTXML(""https://nominatim.openstreetmap.org/search?q=""&amp;SUBSTITUTE($A22,"" "",""+"")&amp;""+Solo&amp;format=xml&amp;limit=1"",""//place/@lon"")"),"Loading...")</f>
        <v>Loading...</v>
      </c>
      <c r="F22" s="2" t="s">
        <v>188</v>
      </c>
      <c r="G22" s="92" t="str">
        <f>IFERROR(__xludf.DUMMYFUNCTION("IMPORTXML(""https://nominatim.openstreetmap.org/search?q=""&amp;SUBSTITUTE($F22,"" "",""+"")&amp;""+Solo&amp;format=xml&amp;limit=1"",""//place/@lat"")"),"#N/A")</f>
        <v>#N/A</v>
      </c>
      <c r="H22" s="92" t="str">
        <f>IFERROR(__xludf.DUMMYFUNCTION("IMPORTXML(""https://nominatim.openstreetmap.org/search?q=""&amp;SUBSTITUTE($F22,"" "",""+"")&amp;""+Solo&amp;format=xml&amp;limit=1"",""//place/@lon"")"),"Loading...")</f>
        <v>Loading...</v>
      </c>
      <c r="J22" s="2" t="s">
        <v>614</v>
      </c>
      <c r="K22" s="92" t="str">
        <f>IFERROR(__xludf.DUMMYFUNCTION("IMPORTXML(""https://nominatim.openstreetmap.org/search?q=""&amp;SUBSTITUTE($J22,"" "",""+"")&amp;""+Solo&amp;format=xml&amp;limit=1"",""//place/@lat"")"),"Loading...")</f>
        <v>Loading...</v>
      </c>
      <c r="L22" s="92" t="str">
        <f>IFERROR(__xludf.DUMMYFUNCTION("IMPORTXML(""https://nominatim.openstreetmap.org/search?q=""&amp;SUBSTITUTE($J22,"" "",""+"")&amp;""+Solo&amp;format=xml&amp;limit=1"",""//place/@lon"")"),"Loading...")</f>
        <v>Loading...</v>
      </c>
      <c r="N22" s="2" t="s">
        <v>615</v>
      </c>
      <c r="O22" s="92" t="str">
        <f>IFERROR(__xludf.DUMMYFUNCTION("IMPORTXML(""https://nominatim.openstreetmap.org/search?q=""&amp;SUBSTITUTE($N22,"" "",""+"")&amp;""+Solo&amp;format=xml&amp;limit=1"",""//place/@lat"")"),"Loading...")</f>
        <v>Loading...</v>
      </c>
      <c r="P22" s="92">
        <f>IFERROR(__xludf.DUMMYFUNCTION("IMPORTXML(""https://nominatim.openstreetmap.org/search?q=""&amp;SUBSTITUTE($N22,"" "",""+"")&amp;""+Solo&amp;format=xml&amp;limit=1"",""//place/@lon"")"),110.7860188)</f>
        <v>110.7860188</v>
      </c>
      <c r="R22" s="2" t="s">
        <v>349</v>
      </c>
      <c r="S22" s="92" t="str">
        <f>IFERROR(__xludf.DUMMYFUNCTION("IMPORTXML(""https://nominatim.openstreetmap.org/search?q=""&amp;SUBSTITUTE($R22,"" "",""+"")&amp;""+Solo&amp;format=xml&amp;limit=1"",""//place/@lat"")"),"#N/A")</f>
        <v>#N/A</v>
      </c>
      <c r="T22" s="92" t="str">
        <f>IFERROR(__xludf.DUMMYFUNCTION("IMPORTXML(""https://nominatim.openstreetmap.org/search?q=""&amp;SUBSTITUTE($R22,"" "",""+"")&amp;""+Solo&amp;format=xml&amp;limit=1"",""//place/@lon"")"),"Loading...")</f>
        <v>Loading...</v>
      </c>
      <c r="V22" s="2" t="s">
        <v>616</v>
      </c>
      <c r="W22" s="92" t="str">
        <f>IFERROR(__xludf.DUMMYFUNCTION("IMPORTXML(""https://nominatim.openstreetmap.org/search?q=""&amp;SUBSTITUTE($V22,"" "",""+"")&amp;""+Solo&amp;format=xml&amp;limit=1"",""//place/@lat"")"),"Loading...")</f>
        <v>Loading...</v>
      </c>
      <c r="X22" s="92" t="str">
        <f>IFERROR(__xludf.DUMMYFUNCTION("IMPORTXML(""https://nominatim.openstreetmap.org/search?q=""&amp;SUBSTITUTE($V22,"" "",""+"")&amp;""+Solo&amp;format=xml&amp;limit=1"",""//place/@lon"")"),"Loading...")</f>
        <v>Loading...</v>
      </c>
      <c r="Z22" s="2" t="s">
        <v>388</v>
      </c>
      <c r="AA22" s="92" t="str">
        <f>IFERROR(__xludf.DUMMYFUNCTION("IMPORTXML(""https://nominatim.openstreetmap.org/search?q=""&amp;SUBSTITUTE($Z22,"" "",""+"")&amp;""+Solo&amp;format=xml&amp;limit=1"",""//place/@lat"")"),"Loading...")</f>
        <v>Loading...</v>
      </c>
      <c r="AB22" s="92" t="str">
        <f>IFERROR(__xludf.DUMMYFUNCTION("IMPORTXML(""https://nominatim.openstreetmap.org/search?q=""&amp;SUBSTITUTE($Z22,"" "",""+"")&amp;""+Solo&amp;format=xml&amp;limit=1"",""//place/@lon"")"),"Loading...")</f>
        <v>Loading...</v>
      </c>
      <c r="AD22" s="2" t="s">
        <v>96</v>
      </c>
      <c r="AE22" s="92" t="str">
        <f>IFERROR(__xludf.DUMMYFUNCTION("IMPORTXML(""https://nominatim.openstreetmap.org/search?q=""&amp;SUBSTITUTE($AD22,"" "",""+"")&amp;""+Solo&amp;format=xml&amp;limit=1"",""//place/@lat"")"),"#N/A")</f>
        <v>#N/A</v>
      </c>
      <c r="AF22" s="92" t="str">
        <f>IFERROR(__xludf.DUMMYFUNCTION("IMPORTXML(""https://nominatim.openstreetmap.org/search?q=""&amp;SUBSTITUTE($AD22,"" "",""+"")&amp;""+Solo&amp;format=xml&amp;limit=1"",""//place/@lon"")"),"Loading...")</f>
        <v>Loading...</v>
      </c>
      <c r="AH22" s="2" t="s">
        <v>444</v>
      </c>
      <c r="AI22" s="92" t="str">
        <f>IFERROR(__xludf.DUMMYFUNCTION("IMPORTXML(""https://nominatim.openstreetmap.org/search?q=""&amp;SUBSTITUTE($AH22,"" "",""+"")&amp;""+Solo&amp;format=xml&amp;limit=1"",""//place/@lat"")"),"Loading...")</f>
        <v>Loading...</v>
      </c>
      <c r="AJ22" s="92" t="str">
        <f>IFERROR(__xludf.DUMMYFUNCTION("IMPORTXML(""https://nominatim.openstreetmap.org/search?q=""&amp;SUBSTITUTE($AH22,"" "",""+"")&amp;""+Solo&amp;format=xml&amp;limit=1"",""//place/@lon"")"),"#N/A")</f>
        <v>#N/A</v>
      </c>
      <c r="AL22" s="2" t="s">
        <v>617</v>
      </c>
      <c r="AM22" s="92" t="str">
        <f>IFERROR(__xludf.DUMMYFUNCTION("IMPORTXML(""https://nominatim.openstreetmap.org/search?q=""&amp;SUBSTITUTE($AL22,"" "",""+"")&amp;""+Solo&amp;format=xml&amp;limit=1"",""//place/@lat"")"),"Loading...")</f>
        <v>Loading...</v>
      </c>
      <c r="AN22" s="2" t="str">
        <f>IFERROR(__xludf.DUMMYFUNCTION("IMPORTXML(""https://nominatim.openstreetmap.org/search?q=""&amp;SUBSTITUTE($AL22,"" "",""+"")&amp;""+Solo&amp;format=xml&amp;limit=1"",""//place/@lon"")"),"Loading...")</f>
        <v>Loading...</v>
      </c>
    </row>
    <row r="23">
      <c r="A23" s="92" t="s">
        <v>78</v>
      </c>
      <c r="B23" s="92" t="str">
        <f>IFERROR(__xludf.DUMMYFUNCTION("IMPORTXML(""https://nominatim.openstreetmap.org/search?q=""&amp;SUBSTITUTE($A23,"" "",""+"")&amp;""+Solo&amp;format=xml&amp;limit=1"",""//place/@lat"")"),"Loading...")</f>
        <v>Loading...</v>
      </c>
      <c r="C23" s="92" t="str">
        <f>IFERROR(__xludf.DUMMYFUNCTION("IMPORTXML(""https://nominatim.openstreetmap.org/search?q=""&amp;SUBSTITUTE($A23,"" "",""+"")&amp;""+Solo&amp;format=xml&amp;limit=1"",""//place/@lon"")"),"#N/A")</f>
        <v>#N/A</v>
      </c>
      <c r="F23" s="2" t="s">
        <v>189</v>
      </c>
      <c r="G23" s="92" t="str">
        <f>IFERROR(__xludf.DUMMYFUNCTION("IMPORTXML(""https://nominatim.openstreetmap.org/search?q=""&amp;SUBSTITUTE($F23,"" "",""+"")&amp;""+Solo&amp;format=xml&amp;limit=1"",""//place/@lat"")"),"Loading...")</f>
        <v>Loading...</v>
      </c>
      <c r="H23" s="92" t="str">
        <f>IFERROR(__xludf.DUMMYFUNCTION("IMPORTXML(""https://nominatim.openstreetmap.org/search?q=""&amp;SUBSTITUTE($F23,"" "",""+"")&amp;""+Solo&amp;format=xml&amp;limit=1"",""//place/@lon"")"),"#N/A")</f>
        <v>#N/A</v>
      </c>
      <c r="J23" s="2" t="s">
        <v>618</v>
      </c>
      <c r="K23" s="92" t="str">
        <f>IFERROR(__xludf.DUMMYFUNCTION("IMPORTXML(""https://nominatim.openstreetmap.org/search?q=""&amp;SUBSTITUTE($J23,"" "",""+"")&amp;""+Solo&amp;format=xml&amp;limit=1"",""//place/@lat"")"),"#N/A")</f>
        <v>#N/A</v>
      </c>
      <c r="L23" s="92" t="str">
        <f>IFERROR(__xludf.DUMMYFUNCTION("IMPORTXML(""https://nominatim.openstreetmap.org/search?q=""&amp;SUBSTITUTE($J23,"" "",""+"")&amp;""+Solo&amp;format=xml&amp;limit=1"",""//place/@lon"")"),"Loading...")</f>
        <v>Loading...</v>
      </c>
      <c r="N23" s="2" t="s">
        <v>619</v>
      </c>
      <c r="O23" s="92" t="str">
        <f>IFERROR(__xludf.DUMMYFUNCTION("IMPORTXML(""https://nominatim.openstreetmap.org/search?q=""&amp;SUBSTITUTE($N23,"" "",""+"")&amp;""+Solo&amp;format=xml&amp;limit=1"",""//place/@lat"")"),"Loading...")</f>
        <v>Loading...</v>
      </c>
      <c r="P23" s="92" t="str">
        <f>IFERROR(__xludf.DUMMYFUNCTION("IMPORTXML(""https://nominatim.openstreetmap.org/search?q=""&amp;SUBSTITUTE($N23,"" "",""+"")&amp;""+Solo&amp;format=xml&amp;limit=1"",""//place/@lon"")"),"Loading...")</f>
        <v>Loading...</v>
      </c>
      <c r="R23" s="2" t="s">
        <v>350</v>
      </c>
      <c r="S23" s="92" t="str">
        <f>IFERROR(__xludf.DUMMYFUNCTION("IMPORTXML(""https://nominatim.openstreetmap.org/search?q=""&amp;SUBSTITUTE($R23,"" "",""+"")&amp;""+Solo&amp;format=xml&amp;limit=1"",""//place/@lat"")"),"Loading...")</f>
        <v>Loading...</v>
      </c>
      <c r="T23" s="92" t="str">
        <f>IFERROR(__xludf.DUMMYFUNCTION("IMPORTXML(""https://nominatim.openstreetmap.org/search?q=""&amp;SUBSTITUTE($R23,"" "",""+"")&amp;""+Solo&amp;format=xml&amp;limit=1"",""//place/@lon"")"),"Loading...")</f>
        <v>Loading...</v>
      </c>
      <c r="V23" s="2" t="s">
        <v>620</v>
      </c>
      <c r="W23" s="92" t="str">
        <f>IFERROR(__xludf.DUMMYFUNCTION("IMPORTXML(""https://nominatim.openstreetmap.org/search?q=""&amp;SUBSTITUTE($V23,"" "",""+"")&amp;""+Solo&amp;format=xml&amp;limit=1"",""//place/@lat"")"),"Loading...")</f>
        <v>Loading...</v>
      </c>
      <c r="X23" s="92" t="str">
        <f>IFERROR(__xludf.DUMMYFUNCTION("IMPORTXML(""https://nominatim.openstreetmap.org/search?q=""&amp;SUBSTITUTE($V23,"" "",""+"")&amp;""+Solo&amp;format=xml&amp;limit=1"",""//place/@lon"")"),"#N/A")</f>
        <v>#N/A</v>
      </c>
      <c r="AD23" s="2" t="s">
        <v>429</v>
      </c>
      <c r="AE23" s="92" t="str">
        <f>IFERROR(__xludf.DUMMYFUNCTION("IMPORTXML(""https://nominatim.openstreetmap.org/search?q=""&amp;SUBSTITUTE($AD23,"" "",""+"")&amp;""+Solo&amp;format=xml&amp;limit=1"",""//place/@lat"")"),"Loading...")</f>
        <v>Loading...</v>
      </c>
      <c r="AF23" s="92" t="str">
        <f>IFERROR(__xludf.DUMMYFUNCTION("IMPORTXML(""https://nominatim.openstreetmap.org/search?q=""&amp;SUBSTITUTE($AD23,"" "",""+"")&amp;""+Solo&amp;format=xml&amp;limit=1"",""//place/@lon"")"),"Loading...")</f>
        <v>Loading...</v>
      </c>
      <c r="AH23" s="2" t="s">
        <v>445</v>
      </c>
      <c r="AI23" s="92" t="str">
        <f>IFERROR(__xludf.DUMMYFUNCTION("IMPORTXML(""https://nominatim.openstreetmap.org/search?q=""&amp;SUBSTITUTE($AH23,"" "",""+"")&amp;""+Solo&amp;format=xml&amp;limit=1"",""//place/@lat"")"),"Loading...")</f>
        <v>Loading...</v>
      </c>
      <c r="AJ23" s="92" t="str">
        <f>IFERROR(__xludf.DUMMYFUNCTION("IMPORTXML(""https://nominatim.openstreetmap.org/search?q=""&amp;SUBSTITUTE($AH23,"" "",""+"")&amp;""+Solo&amp;format=xml&amp;limit=1"",""//place/@lon"")"),"Loading...")</f>
        <v>Loading...</v>
      </c>
      <c r="AL23" s="2" t="s">
        <v>512</v>
      </c>
      <c r="AM23" s="92" t="str">
        <f>IFERROR(__xludf.DUMMYFUNCTION("IMPORTXML(""https://nominatim.openstreetmap.org/search?q=""&amp;SUBSTITUTE($AL23,"" "",""+"")&amp;""+Solo&amp;format=xml&amp;limit=1"",""//place/@lat"")"),"Loading...")</f>
        <v>Loading...</v>
      </c>
      <c r="AN23" s="2" t="str">
        <f>IFERROR(__xludf.DUMMYFUNCTION("IMPORTXML(""https://nominatim.openstreetmap.org/search?q=""&amp;SUBSTITUTE($AL23,"" "",""+"")&amp;""+Solo&amp;format=xml&amp;limit=1"",""//place/@lon"")"),"Loading...")</f>
        <v>Loading...</v>
      </c>
    </row>
    <row r="24">
      <c r="A24" s="92" t="s">
        <v>81</v>
      </c>
      <c r="B24" s="92" t="str">
        <f>IFERROR(__xludf.DUMMYFUNCTION("IMPORTXML(""https://nominatim.openstreetmap.org/search?q=""&amp;SUBSTITUTE($A24,"" "",""+"")&amp;""+Solo&amp;format=xml&amp;limit=1"",""//place/@lat"")"),"Loading...")</f>
        <v>Loading...</v>
      </c>
      <c r="C24" s="92" t="str">
        <f>IFERROR(__xludf.DUMMYFUNCTION("IMPORTXML(""https://nominatim.openstreetmap.org/search?q=""&amp;SUBSTITUTE($A24,"" "",""+"")&amp;""+Solo&amp;format=xml&amp;limit=1"",""//place/@lon"")"),"Loading...")</f>
        <v>Loading...</v>
      </c>
      <c r="F24" s="2" t="s">
        <v>621</v>
      </c>
      <c r="G24" s="92" t="str">
        <f>IFERROR(__xludf.DUMMYFUNCTION("IMPORTXML(""https://nominatim.openstreetmap.org/search?q=""&amp;SUBSTITUTE($F24,"" "",""+"")&amp;""+Solo&amp;format=xml&amp;limit=1"",""//place/@lat"")"),"#N/A")</f>
        <v>#N/A</v>
      </c>
      <c r="H24" s="92" t="str">
        <f>IFERROR(__xludf.DUMMYFUNCTION("IMPORTXML(""https://nominatim.openstreetmap.org/search?q=""&amp;SUBSTITUTE($F24,"" "",""+"")&amp;""+Solo&amp;format=xml&amp;limit=1"",""//place/@lon"")"),"Loading...")</f>
        <v>Loading...</v>
      </c>
      <c r="J24" s="2" t="s">
        <v>622</v>
      </c>
      <c r="K24" s="92" t="str">
        <f>IFERROR(__xludf.DUMMYFUNCTION("IMPORTXML(""https://nominatim.openstreetmap.org/search?q=""&amp;SUBSTITUTE($J24,"" "",""+"")&amp;""+Solo&amp;format=xml&amp;limit=1"",""//place/@lat"")"),"Loading...")</f>
        <v>Loading...</v>
      </c>
      <c r="L24" s="92" t="str">
        <f>IFERROR(__xludf.DUMMYFUNCTION("IMPORTXML(""https://nominatim.openstreetmap.org/search?q=""&amp;SUBSTITUTE($J24,"" "",""+"")&amp;""+Solo&amp;format=xml&amp;limit=1"",""//place/@lon"")"),"Loading...")</f>
        <v>Loading...</v>
      </c>
      <c r="N24" s="2" t="s">
        <v>623</v>
      </c>
      <c r="O24" s="92" t="str">
        <f>IFERROR(__xludf.DUMMYFUNCTION("IMPORTXML(""https://nominatim.openstreetmap.org/search?q=""&amp;SUBSTITUTE($N24,"" "",""+"")&amp;""+Solo&amp;format=xml&amp;limit=1"",""//place/@lat"")"),"#N/A")</f>
        <v>#N/A</v>
      </c>
      <c r="P24" s="92" t="str">
        <f>IFERROR(__xludf.DUMMYFUNCTION("IMPORTXML(""https://nominatim.openstreetmap.org/search?q=""&amp;SUBSTITUTE($N24,"" "",""+"")&amp;""+Solo&amp;format=xml&amp;limit=1"",""//place/@lon"")"),"Loading...")</f>
        <v>Loading...</v>
      </c>
      <c r="R24" s="2" t="s">
        <v>351</v>
      </c>
      <c r="S24" s="92" t="str">
        <f>IFERROR(__xludf.DUMMYFUNCTION("IMPORTXML(""https://nominatim.openstreetmap.org/search?q=""&amp;SUBSTITUTE($R24,"" "",""+"")&amp;""+Solo&amp;format=xml&amp;limit=1"",""//place/@lat"")"),"Loading...")</f>
        <v>Loading...</v>
      </c>
      <c r="T24" s="92" t="str">
        <f>IFERROR(__xludf.DUMMYFUNCTION("IMPORTXML(""https://nominatim.openstreetmap.org/search?q=""&amp;SUBSTITUTE($R24,"" "",""+"")&amp;""+Solo&amp;format=xml&amp;limit=1"",""//place/@lon"")"),"Loading...")</f>
        <v>Loading...</v>
      </c>
      <c r="V24" s="2" t="s">
        <v>214</v>
      </c>
      <c r="W24" s="92" t="str">
        <f>IFERROR(__xludf.DUMMYFUNCTION("IMPORTXML(""https://nominatim.openstreetmap.org/search?q=""&amp;SUBSTITUTE($V24,"" "",""+"")&amp;""+Solo&amp;format=xml&amp;limit=1"",""//place/@lat"")"),"Loading...")</f>
        <v>Loading...</v>
      </c>
      <c r="X24" s="92" t="str">
        <f>IFERROR(__xludf.DUMMYFUNCTION("IMPORTXML(""https://nominatim.openstreetmap.org/search?q=""&amp;SUBSTITUTE($V24,"" "",""+"")&amp;""+Solo&amp;format=xml&amp;limit=1"",""//place/@lon"")"),"Loading...")</f>
        <v>Loading...</v>
      </c>
      <c r="AD24" s="2" t="s">
        <v>430</v>
      </c>
      <c r="AE24" s="92" t="str">
        <f>IFERROR(__xludf.DUMMYFUNCTION("IMPORTXML(""https://nominatim.openstreetmap.org/search?q=""&amp;SUBSTITUTE($AD24,"" "",""+"")&amp;""+Solo&amp;format=xml&amp;limit=1"",""//place/@lat"")"),"Loading...")</f>
        <v>Loading...</v>
      </c>
      <c r="AF24" s="92" t="str">
        <f>IFERROR(__xludf.DUMMYFUNCTION("IMPORTXML(""https://nominatim.openstreetmap.org/search?q=""&amp;SUBSTITUTE($AD24,"" "",""+"")&amp;""+Solo&amp;format=xml&amp;limit=1"",""//place/@lon"")"),"Loading...")</f>
        <v>Loading...</v>
      </c>
      <c r="AH24" s="2" t="s">
        <v>446</v>
      </c>
      <c r="AI24" s="92" t="str">
        <f>IFERROR(__xludf.DUMMYFUNCTION("IMPORTXML(""https://nominatim.openstreetmap.org/search?q=""&amp;SUBSTITUTE($AH24,"" "",""+"")&amp;""+Solo&amp;format=xml&amp;limit=1"",""//place/@lat"")"),"Loading...")</f>
        <v>Loading...</v>
      </c>
      <c r="AJ24" s="92" t="str">
        <f>IFERROR(__xludf.DUMMYFUNCTION("IMPORTXML(""https://nominatim.openstreetmap.org/search?q=""&amp;SUBSTITUTE($AH24,"" "",""+"")&amp;""+Solo&amp;format=xml&amp;limit=1"",""//place/@lon"")"),"#N/A")</f>
        <v>#N/A</v>
      </c>
      <c r="AL24" s="2" t="s">
        <v>26</v>
      </c>
      <c r="AM24" s="92" t="str">
        <f>IFERROR(__xludf.DUMMYFUNCTION("IMPORTXML(""https://nominatim.openstreetmap.org/search?q=""&amp;SUBSTITUTE($AL24,"" "",""+"")&amp;""+Solo&amp;format=xml&amp;limit=1"",""//place/@lat"")"),"Loading...")</f>
        <v>Loading...</v>
      </c>
      <c r="AN24" s="2" t="str">
        <f>IFERROR(__xludf.DUMMYFUNCTION("IMPORTXML(""https://nominatim.openstreetmap.org/search?q=""&amp;SUBSTITUTE($AL24,"" "",""+"")&amp;""+Solo&amp;format=xml&amp;limit=1"",""//place/@lon"")"),"Loading...")</f>
        <v>Loading...</v>
      </c>
    </row>
    <row r="25">
      <c r="A25" s="92" t="s">
        <v>84</v>
      </c>
      <c r="B25" s="92" t="str">
        <f>IFERROR(__xludf.DUMMYFUNCTION("IMPORTXML(""https://nominatim.openstreetmap.org/search?q=""&amp;SUBSTITUTE($A25,"" "",""+"")&amp;""+Solo&amp;format=xml&amp;limit=1"",""//place/@lat"")"),"#N/A")</f>
        <v>#N/A</v>
      </c>
      <c r="C25" s="92" t="str">
        <f>IFERROR(__xludf.DUMMYFUNCTION("IMPORTXML(""https://nominatim.openstreetmap.org/search?q=""&amp;SUBSTITUTE($A25,"" "",""+"")&amp;""+Solo&amp;format=xml&amp;limit=1"",""//place/@lon"")"),"Loading...")</f>
        <v>Loading...</v>
      </c>
      <c r="F25" s="2" t="s">
        <v>263</v>
      </c>
      <c r="G25" s="92" t="str">
        <f>IFERROR(__xludf.DUMMYFUNCTION("IMPORTXML(""https://nominatim.openstreetmap.org/search?q=""&amp;SUBSTITUTE($F25,"" "",""+"")&amp;""+Solo&amp;format=xml&amp;limit=1"",""//place/@lat"")"),"#N/A")</f>
        <v>#N/A</v>
      </c>
      <c r="H25" s="92" t="str">
        <f>IFERROR(__xludf.DUMMYFUNCTION("IMPORTXML(""https://nominatim.openstreetmap.org/search?q=""&amp;SUBSTITUTE($F25,"" "",""+"")&amp;""+Solo&amp;format=xml&amp;limit=1"",""//place/@lon"")"),"Loading...")</f>
        <v>Loading...</v>
      </c>
      <c r="J25" s="2" t="s">
        <v>624</v>
      </c>
      <c r="K25" s="92" t="str">
        <f>IFERROR(__xludf.DUMMYFUNCTION("IMPORTXML(""https://nominatim.openstreetmap.org/search?q=""&amp;SUBSTITUTE($J25,"" "",""+"")&amp;""+Solo&amp;format=xml&amp;limit=1"",""//place/@lat"")"),"Loading...")</f>
        <v>Loading...</v>
      </c>
      <c r="L25" s="92" t="str">
        <f>IFERROR(__xludf.DUMMYFUNCTION("IMPORTXML(""https://nominatim.openstreetmap.org/search?q=""&amp;SUBSTITUTE($J25,"" "",""+"")&amp;""+Solo&amp;format=xml&amp;limit=1"",""//place/@lon"")"),"Loading...")</f>
        <v>Loading...</v>
      </c>
      <c r="N25" s="2" t="s">
        <v>625</v>
      </c>
      <c r="O25" s="92" t="str">
        <f>IFERROR(__xludf.DUMMYFUNCTION("IMPORTXML(""https://nominatim.openstreetmap.org/search?q=""&amp;SUBSTITUTE($N25,"" "",""+"")&amp;""+Solo&amp;format=xml&amp;limit=1"",""//place/@lat"")"),"#N/A")</f>
        <v>#N/A</v>
      </c>
      <c r="P25" s="92" t="str">
        <f>IFERROR(__xludf.DUMMYFUNCTION("IMPORTXML(""https://nominatim.openstreetmap.org/search?q=""&amp;SUBSTITUTE($N25,"" "",""+"")&amp;""+Solo&amp;format=xml&amp;limit=1"",""//place/@lon"")"),"Loading...")</f>
        <v>Loading...</v>
      </c>
      <c r="R25" s="2" t="s">
        <v>352</v>
      </c>
      <c r="S25" s="92" t="str">
        <f>IFERROR(__xludf.DUMMYFUNCTION("IMPORTXML(""https://nominatim.openstreetmap.org/search?q=""&amp;SUBSTITUTE($R25,"" "",""+"")&amp;""+Solo&amp;format=xml&amp;limit=1"",""//place/@lat"")"),"Loading...")</f>
        <v>Loading...</v>
      </c>
      <c r="T25" s="92" t="str">
        <f>IFERROR(__xludf.DUMMYFUNCTION("IMPORTXML(""https://nominatim.openstreetmap.org/search?q=""&amp;SUBSTITUTE($R25,"" "",""+"")&amp;""+Solo&amp;format=xml&amp;limit=1"",""//place/@lon"")"),"#N/A")</f>
        <v>#N/A</v>
      </c>
      <c r="V25" s="2" t="s">
        <v>400</v>
      </c>
      <c r="W25" s="92" t="str">
        <f>IFERROR(__xludf.DUMMYFUNCTION("IMPORTXML(""https://nominatim.openstreetmap.org/search?q=""&amp;SUBSTITUTE($V25,"" "",""+"")&amp;""+Solo&amp;format=xml&amp;limit=1"",""//place/@lat"")"),"Loading...")</f>
        <v>Loading...</v>
      </c>
      <c r="X25" s="92" t="str">
        <f>IFERROR(__xludf.DUMMYFUNCTION("IMPORTXML(""https://nominatim.openstreetmap.org/search?q=""&amp;SUBSTITUTE($V25,"" "",""+"")&amp;""+Solo&amp;format=xml&amp;limit=1"",""//place/@lon"")"),"Loading...")</f>
        <v>Loading...</v>
      </c>
      <c r="AD25" s="2" t="s">
        <v>431</v>
      </c>
      <c r="AE25" s="92" t="str">
        <f>IFERROR(__xludf.DUMMYFUNCTION("IMPORTXML(""https://nominatim.openstreetmap.org/search?q=""&amp;SUBSTITUTE($AD25,"" "",""+"")&amp;""+Solo&amp;format=xml&amp;limit=1"",""//place/@lat"")"),"Loading...")</f>
        <v>Loading...</v>
      </c>
      <c r="AF25" s="92" t="str">
        <f>IFERROR(__xludf.DUMMYFUNCTION("IMPORTXML(""https://nominatim.openstreetmap.org/search?q=""&amp;SUBSTITUTE($AD25,"" "",""+"")&amp;""+Solo&amp;format=xml&amp;limit=1"",""//place/@lon"")"),"Loading...")</f>
        <v>Loading...</v>
      </c>
      <c r="AH25" s="2" t="s">
        <v>447</v>
      </c>
      <c r="AI25" s="92" t="str">
        <f>IFERROR(__xludf.DUMMYFUNCTION("IMPORTXML(""https://nominatim.openstreetmap.org/search?q=""&amp;SUBSTITUTE($AH25,"" "",""+"")&amp;""+Solo&amp;format=xml&amp;limit=1"",""//place/@lat"")"),"Loading...")</f>
        <v>Loading...</v>
      </c>
      <c r="AJ25" s="92" t="str">
        <f>IFERROR(__xludf.DUMMYFUNCTION("IMPORTXML(""https://nominatim.openstreetmap.org/search?q=""&amp;SUBSTITUTE($AH25,"" "",""+"")&amp;""+Solo&amp;format=xml&amp;limit=1"",""//place/@lon"")"),"Loading...")</f>
        <v>Loading...</v>
      </c>
      <c r="AL25" s="2" t="s">
        <v>513</v>
      </c>
      <c r="AM25" s="92" t="str">
        <f>IFERROR(__xludf.DUMMYFUNCTION("IMPORTXML(""https://nominatim.openstreetmap.org/search?q=""&amp;SUBSTITUTE($AL25,"" "",""+"")&amp;""+Solo&amp;format=xml&amp;limit=1"",""//place/@lat"")"),"Loading...")</f>
        <v>Loading...</v>
      </c>
      <c r="AN25" s="2" t="str">
        <f>IFERROR(__xludf.DUMMYFUNCTION("IMPORTXML(""https://nominatim.openstreetmap.org/search?q=""&amp;SUBSTITUTE($AL25,"" "",""+"")&amp;""+Solo&amp;format=xml&amp;limit=1"",""//place/@lon"")"),"#N/A")</f>
        <v>#N/A</v>
      </c>
    </row>
    <row r="26">
      <c r="A26" s="92" t="s">
        <v>86</v>
      </c>
      <c r="B26" s="92" t="str">
        <f>IFERROR(__xludf.DUMMYFUNCTION("IMPORTXML(""https://nominatim.openstreetmap.org/search?q=""&amp;SUBSTITUTE($A26,"" "",""+"")&amp;""+Solo&amp;format=xml&amp;limit=1"",""//place/@lat"")"),"#N/A")</f>
        <v>#N/A</v>
      </c>
      <c r="C26" s="92" t="str">
        <f>IFERROR(__xludf.DUMMYFUNCTION("IMPORTXML(""https://nominatim.openstreetmap.org/search?q=""&amp;SUBSTITUTE($A26,"" "",""+"")&amp;""+Solo&amp;format=xml&amp;limit=1"",""//place/@lon"")"),"#N/A")</f>
        <v>#N/A</v>
      </c>
      <c r="F26" s="2" t="s">
        <v>264</v>
      </c>
      <c r="G26" s="92" t="str">
        <f>IFERROR(__xludf.DUMMYFUNCTION("IMPORTXML(""https://nominatim.openstreetmap.org/search?q=""&amp;SUBSTITUTE($F26,"" "",""+"")&amp;""+Solo&amp;format=xml&amp;limit=1"",""//place/@lat"")"),"#N/A")</f>
        <v>#N/A</v>
      </c>
      <c r="H26" s="92" t="str">
        <f>IFERROR(__xludf.DUMMYFUNCTION("IMPORTXML(""https://nominatim.openstreetmap.org/search?q=""&amp;SUBSTITUTE($F26,"" "",""+"")&amp;""+Solo&amp;format=xml&amp;limit=1"",""//place/@lon"")"),"#N/A")</f>
        <v>#N/A</v>
      </c>
      <c r="J26" s="2" t="s">
        <v>626</v>
      </c>
      <c r="K26" s="92" t="str">
        <f>IFERROR(__xludf.DUMMYFUNCTION("IMPORTXML(""https://nominatim.openstreetmap.org/search?q=""&amp;SUBSTITUTE($J26,"" "",""+"")&amp;""+Solo&amp;format=xml&amp;limit=1"",""//place/@lat"")"),"Loading...")</f>
        <v>Loading...</v>
      </c>
      <c r="L26" s="92" t="str">
        <f>IFERROR(__xludf.DUMMYFUNCTION("IMPORTXML(""https://nominatim.openstreetmap.org/search?q=""&amp;SUBSTITUTE($J26,"" "",""+"")&amp;""+Solo&amp;format=xml&amp;limit=1"",""//place/@lon"")"),"Loading...")</f>
        <v>Loading...</v>
      </c>
      <c r="N26" s="2" t="s">
        <v>321</v>
      </c>
      <c r="O26" s="92" t="str">
        <f>IFERROR(__xludf.DUMMYFUNCTION("IMPORTXML(""https://nominatim.openstreetmap.org/search?q=""&amp;SUBSTITUTE($N26,"" "",""+"")&amp;""+Solo&amp;format=xml&amp;limit=1"",""//place/@lat"")"),"Loading...")</f>
        <v>Loading...</v>
      </c>
      <c r="P26" s="92" t="str">
        <f>IFERROR(__xludf.DUMMYFUNCTION("IMPORTXML(""https://nominatim.openstreetmap.org/search?q=""&amp;SUBSTITUTE($N26,"" "",""+"")&amp;""+Solo&amp;format=xml&amp;limit=1"",""//place/@lon"")"),"Loading...")</f>
        <v>Loading...</v>
      </c>
      <c r="R26" s="2" t="s">
        <v>209</v>
      </c>
      <c r="S26" s="92" t="str">
        <f>IFERROR(__xludf.DUMMYFUNCTION("IMPORTXML(""https://nominatim.openstreetmap.org/search?q=""&amp;SUBSTITUTE($R26,"" "",""+"")&amp;""+Solo&amp;format=xml&amp;limit=1"",""//place/@lat"")"),"Loading...")</f>
        <v>Loading...</v>
      </c>
      <c r="T26" s="92" t="str">
        <f>IFERROR(__xludf.DUMMYFUNCTION("IMPORTXML(""https://nominatim.openstreetmap.org/search?q=""&amp;SUBSTITUTE($R26,"" "",""+"")&amp;""+Solo&amp;format=xml&amp;limit=1"",""//place/@lon"")"),"Loading...")</f>
        <v>Loading...</v>
      </c>
      <c r="V26" s="2" t="s">
        <v>401</v>
      </c>
      <c r="W26" s="92" t="str">
        <f>IFERROR(__xludf.DUMMYFUNCTION("IMPORTXML(""https://nominatim.openstreetmap.org/search?q=""&amp;SUBSTITUTE($V26,"" "",""+"")&amp;""+Solo&amp;format=xml&amp;limit=1"",""//place/@lat"")"),"Loading...")</f>
        <v>Loading...</v>
      </c>
      <c r="X26" s="92" t="str">
        <f>IFERROR(__xludf.DUMMYFUNCTION("IMPORTXML(""https://nominatim.openstreetmap.org/search?q=""&amp;SUBSTITUTE($V26,"" "",""+"")&amp;""+Solo&amp;format=xml&amp;limit=1"",""//place/@lon"")"),"Loading...")</f>
        <v>Loading...</v>
      </c>
      <c r="AD26" s="2" t="s">
        <v>432</v>
      </c>
      <c r="AE26" s="92" t="str">
        <f>IFERROR(__xludf.DUMMYFUNCTION("IMPORTXML(""https://nominatim.openstreetmap.org/search?q=""&amp;SUBSTITUTE($AD26,"" "",""+"")&amp;""+Solo&amp;format=xml&amp;limit=1"",""//place/@lat"")"),"#N/A")</f>
        <v>#N/A</v>
      </c>
      <c r="AF26" s="92" t="str">
        <f>IFERROR(__xludf.DUMMYFUNCTION("IMPORTXML(""https://nominatim.openstreetmap.org/search?q=""&amp;SUBSTITUTE($AD26,"" "",""+"")&amp;""+Solo&amp;format=xml&amp;limit=1"",""//place/@lon"")"),"Loading...")</f>
        <v>Loading...</v>
      </c>
      <c r="AH26" s="2" t="s">
        <v>448</v>
      </c>
      <c r="AI26" s="92" t="str">
        <f>IFERROR(__xludf.DUMMYFUNCTION("IMPORTXML(""https://nominatim.openstreetmap.org/search?q=""&amp;SUBSTITUTE($AH26,"" "",""+"")&amp;""+Solo&amp;format=xml&amp;limit=1"",""//place/@lat"")"),"Loading...")</f>
        <v>Loading...</v>
      </c>
      <c r="AJ26" s="92" t="str">
        <f>IFERROR(__xludf.DUMMYFUNCTION("IMPORTXML(""https://nominatim.openstreetmap.org/search?q=""&amp;SUBSTITUTE($AH26,"" "",""+"")&amp;""+Solo&amp;format=xml&amp;limit=1"",""//place/@lon"")"),"Loading...")</f>
        <v>Loading...</v>
      </c>
    </row>
    <row r="27">
      <c r="A27" s="92" t="s">
        <v>536</v>
      </c>
      <c r="B27" s="92" t="str">
        <f>IFERROR(__xludf.DUMMYFUNCTION("IMPORTXML(""https://nominatim.openstreetmap.org/search?q=""&amp;SUBSTITUTE($A27,"" "",""+"")&amp;""+Solo&amp;format=xml&amp;limit=1"",""//place/@lat"")"),"Loading...")</f>
        <v>Loading...</v>
      </c>
      <c r="C27" s="92" t="str">
        <f>IFERROR(__xludf.DUMMYFUNCTION("IMPORTXML(""https://nominatim.openstreetmap.org/search?q=""&amp;SUBSTITUTE($A27,"" "",""+"")&amp;""+Solo&amp;format=xml&amp;limit=1"",""//place/@lon"")"),"#N/A")</f>
        <v>#N/A</v>
      </c>
      <c r="F27" s="2" t="s">
        <v>265</v>
      </c>
      <c r="G27" s="92" t="str">
        <f>IFERROR(__xludf.DUMMYFUNCTION("IMPORTXML(""https://nominatim.openstreetmap.org/search?q=""&amp;SUBSTITUTE($F27,"" "",""+"")&amp;""+Solo&amp;format=xml&amp;limit=1"",""//place/@lat"")"),"#N/A")</f>
        <v>#N/A</v>
      </c>
      <c r="H27" s="92" t="str">
        <f>IFERROR(__xludf.DUMMYFUNCTION("IMPORTXML(""https://nominatim.openstreetmap.org/search?q=""&amp;SUBSTITUTE($F27,"" "",""+"")&amp;""+Solo&amp;format=xml&amp;limit=1"",""//place/@lon"")"),"Loading...")</f>
        <v>Loading...</v>
      </c>
      <c r="J27" s="2" t="s">
        <v>627</v>
      </c>
      <c r="K27" s="92">
        <f>IFERROR(__xludf.DUMMYFUNCTION("IMPORTXML(""https://nominatim.openstreetmap.org/search?q=""&amp;SUBSTITUTE($J27,"" "",""+"")&amp;""+Solo&amp;format=xml&amp;limit=1"",""//place/@lat"")"),-7.6385145)</f>
        <v>-7.6385145</v>
      </c>
      <c r="L27" s="92" t="str">
        <f>IFERROR(__xludf.DUMMYFUNCTION("IMPORTXML(""https://nominatim.openstreetmap.org/search?q=""&amp;SUBSTITUTE($J27,"" "",""+"")&amp;""+Solo&amp;format=xml&amp;limit=1"",""//place/@lon"")"),"Loading...")</f>
        <v>Loading...</v>
      </c>
      <c r="N27" s="2" t="s">
        <v>628</v>
      </c>
      <c r="O27" s="92" t="str">
        <f>IFERROR(__xludf.DUMMYFUNCTION("IMPORTXML(""https://nominatim.openstreetmap.org/search?q=""&amp;SUBSTITUTE($N27,"" "",""+"")&amp;""+Solo&amp;format=xml&amp;limit=1"",""//place/@lat"")"),"#N/A")</f>
        <v>#N/A</v>
      </c>
      <c r="P27" s="92" t="str">
        <f>IFERROR(__xludf.DUMMYFUNCTION("IMPORTXML(""https://nominatim.openstreetmap.org/search?q=""&amp;SUBSTITUTE($N27,"" "",""+"")&amp;""+Solo&amp;format=xml&amp;limit=1"",""//place/@lon"")"),"Loading...")</f>
        <v>Loading...</v>
      </c>
      <c r="R27" s="2" t="s">
        <v>629</v>
      </c>
      <c r="S27" s="92" t="str">
        <f>IFERROR(__xludf.DUMMYFUNCTION("IMPORTXML(""https://nominatim.openstreetmap.org/search?q=""&amp;SUBSTITUTE($R27,"" "",""+"")&amp;""+Solo&amp;format=xml&amp;limit=1"",""//place/@lat"")"),"Loading...")</f>
        <v>Loading...</v>
      </c>
      <c r="T27" s="92" t="str">
        <f>IFERROR(__xludf.DUMMYFUNCTION("IMPORTXML(""https://nominatim.openstreetmap.org/search?q=""&amp;SUBSTITUTE($R27,"" "",""+"")&amp;""+Solo&amp;format=xml&amp;limit=1"",""//place/@lon"")"),"#N/A")</f>
        <v>#N/A</v>
      </c>
      <c r="V27" s="2" t="s">
        <v>630</v>
      </c>
      <c r="W27" s="92" t="str">
        <f>IFERROR(__xludf.DUMMYFUNCTION("IMPORTXML(""https://nominatim.openstreetmap.org/search?q=""&amp;SUBSTITUTE($V27,"" "",""+"")&amp;""+Solo&amp;format=xml&amp;limit=1"",""//place/@lat"")"),"Loading...")</f>
        <v>Loading...</v>
      </c>
      <c r="X27" s="92" t="str">
        <f>IFERROR(__xludf.DUMMYFUNCTION("IMPORTXML(""https://nominatim.openstreetmap.org/search?q=""&amp;SUBSTITUTE($V27,"" "",""+"")&amp;""+Solo&amp;format=xml&amp;limit=1"",""//place/@lon"")"),"Loading...")</f>
        <v>Loading...</v>
      </c>
      <c r="AD27" s="2" t="s">
        <v>169</v>
      </c>
      <c r="AE27" s="92" t="str">
        <f>IFERROR(__xludf.DUMMYFUNCTION("IMPORTXML(""https://nominatim.openstreetmap.org/search?q=""&amp;SUBSTITUTE($AD27,"" "",""+"")&amp;""+Solo&amp;format=xml&amp;limit=1"",""//place/@lat"")"),"Loading...")</f>
        <v>Loading...</v>
      </c>
      <c r="AF27" s="92" t="str">
        <f>IFERROR(__xludf.DUMMYFUNCTION("IMPORTXML(""https://nominatim.openstreetmap.org/search?q=""&amp;SUBSTITUTE($AD27,"" "",""+"")&amp;""+Solo&amp;format=xml&amp;limit=1"",""//place/@lon"")"),"Loading...")</f>
        <v>Loading...</v>
      </c>
      <c r="AH27" s="2" t="s">
        <v>449</v>
      </c>
      <c r="AI27" s="92" t="str">
        <f>IFERROR(__xludf.DUMMYFUNCTION("IMPORTXML(""https://nominatim.openstreetmap.org/search?q=""&amp;SUBSTITUTE($AH27,"" "",""+"")&amp;""+Solo&amp;format=xml&amp;limit=1"",""//place/@lat"")"),"#N/A")</f>
        <v>#N/A</v>
      </c>
      <c r="AJ27" s="92" t="str">
        <f>IFERROR(__xludf.DUMMYFUNCTION("IMPORTXML(""https://nominatim.openstreetmap.org/search?q=""&amp;SUBSTITUTE($AH27,"" "",""+"")&amp;""+Solo&amp;format=xml&amp;limit=1"",""//place/@lon"")"),"Loading...")</f>
        <v>Loading...</v>
      </c>
    </row>
    <row r="28">
      <c r="A28" s="92" t="s">
        <v>631</v>
      </c>
      <c r="B28" s="92" t="str">
        <f>IFERROR(__xludf.DUMMYFUNCTION("IMPORTXML(""https://nominatim.openstreetmap.org/search?q=""&amp;SUBSTITUTE($A28,"" "",""+"")&amp;""+Solo&amp;format=xml&amp;limit=1"",""//place/@lat"")"),"Loading...")</f>
        <v>Loading...</v>
      </c>
      <c r="C28" s="92" t="str">
        <f>IFERROR(__xludf.DUMMYFUNCTION("IMPORTXML(""https://nominatim.openstreetmap.org/search?q=""&amp;SUBSTITUTE($A28,"" "",""+"")&amp;""+Solo&amp;format=xml&amp;limit=1"",""//place/@lon"")"),"#N/A")</f>
        <v>#N/A</v>
      </c>
      <c r="F28" s="2" t="s">
        <v>266</v>
      </c>
      <c r="G28" s="92" t="str">
        <f>IFERROR(__xludf.DUMMYFUNCTION("IMPORTXML(""https://nominatim.openstreetmap.org/search?q=""&amp;SUBSTITUTE($F28,"" "",""+"")&amp;""+Solo&amp;format=xml&amp;limit=1"",""//place/@lat"")"),"Loading...")</f>
        <v>Loading...</v>
      </c>
      <c r="H28" s="92" t="str">
        <f>IFERROR(__xludf.DUMMYFUNCTION("IMPORTXML(""https://nominatim.openstreetmap.org/search?q=""&amp;SUBSTITUTE($F28,"" "",""+"")&amp;""+Solo&amp;format=xml&amp;limit=1"",""//place/@lon"")"),"#N/A")</f>
        <v>#N/A</v>
      </c>
      <c r="J28" s="2" t="s">
        <v>632</v>
      </c>
      <c r="K28" s="92" t="str">
        <f>IFERROR(__xludf.DUMMYFUNCTION("IMPORTXML(""https://nominatim.openstreetmap.org/search?q=""&amp;SUBSTITUTE($J28,"" "",""+"")&amp;""+Solo&amp;format=xml&amp;limit=1"",""//place/@lat"")"),"Loading...")</f>
        <v>Loading...</v>
      </c>
      <c r="L28" s="92" t="str">
        <f>IFERROR(__xludf.DUMMYFUNCTION("IMPORTXML(""https://nominatim.openstreetmap.org/search?q=""&amp;SUBSTITUTE($J28,"" "",""+"")&amp;""+Solo&amp;format=xml&amp;limit=1"",""//place/@lon"")"),"#N/A")</f>
        <v>#N/A</v>
      </c>
      <c r="N28" s="2" t="s">
        <v>633</v>
      </c>
      <c r="O28" s="92" t="str">
        <f>IFERROR(__xludf.DUMMYFUNCTION("IMPORTXML(""https://nominatim.openstreetmap.org/search?q=""&amp;SUBSTITUTE($N28,"" "",""+"")&amp;""+Solo&amp;format=xml&amp;limit=1"",""//place/@lat"")"),"Loading...")</f>
        <v>Loading...</v>
      </c>
      <c r="P28" s="92" t="str">
        <f>IFERROR(__xludf.DUMMYFUNCTION("IMPORTXML(""https://nominatim.openstreetmap.org/search?q=""&amp;SUBSTITUTE($N28,"" "",""+"")&amp;""+Solo&amp;format=xml&amp;limit=1"",""//place/@lon"")"),"Loading...")</f>
        <v>Loading...</v>
      </c>
      <c r="R28" s="2" t="s">
        <v>634</v>
      </c>
      <c r="S28" s="92" t="str">
        <f>IFERROR(__xludf.DUMMYFUNCTION("IMPORTXML(""https://nominatim.openstreetmap.org/search?q=""&amp;SUBSTITUTE($R28,"" "",""+"")&amp;""+Solo&amp;format=xml&amp;limit=1"",""//place/@lat"")"),"Loading...")</f>
        <v>Loading...</v>
      </c>
      <c r="T28" s="92" t="str">
        <f>IFERROR(__xludf.DUMMYFUNCTION("IMPORTXML(""https://nominatim.openstreetmap.org/search?q=""&amp;SUBSTITUTE($R28,"" "",""+"")&amp;""+Solo&amp;format=xml&amp;limit=1"",""//place/@lon"")"),"Loading...")</f>
        <v>Loading...</v>
      </c>
      <c r="AD28" s="2" t="s">
        <v>170</v>
      </c>
      <c r="AE28" s="92" t="str">
        <f>IFERROR(__xludf.DUMMYFUNCTION("IMPORTXML(""https://nominatim.openstreetmap.org/search?q=""&amp;SUBSTITUTE($AD28,"" "",""+"")&amp;""+Solo&amp;format=xml&amp;limit=1"",""//place/@lat"")"),"#N/A")</f>
        <v>#N/A</v>
      </c>
      <c r="AF28" s="92" t="str">
        <f>IFERROR(__xludf.DUMMYFUNCTION("IMPORTXML(""https://nominatim.openstreetmap.org/search?q=""&amp;SUBSTITUTE($AD28,"" "",""+"")&amp;""+Solo&amp;format=xml&amp;limit=1"",""//place/@lon"")"),"Loading...")</f>
        <v>Loading...</v>
      </c>
      <c r="AH28" s="2" t="s">
        <v>450</v>
      </c>
      <c r="AI28" s="92" t="str">
        <f>IFERROR(__xludf.DUMMYFUNCTION("IMPORTXML(""https://nominatim.openstreetmap.org/search?q=""&amp;SUBSTITUTE($AH28,"" "",""+"")&amp;""+Solo&amp;format=xml&amp;limit=1"",""//place/@lat"")"),"Loading...")</f>
        <v>Loading...</v>
      </c>
      <c r="AJ28" s="92" t="str">
        <f>IFERROR(__xludf.DUMMYFUNCTION("IMPORTXML(""https://nominatim.openstreetmap.org/search?q=""&amp;SUBSTITUTE($AH28,"" "",""+"")&amp;""+Solo&amp;format=xml&amp;limit=1"",""//place/@lon"")"),"Loading...")</f>
        <v>Loading...</v>
      </c>
    </row>
    <row r="29">
      <c r="A29" s="92" t="s">
        <v>134</v>
      </c>
      <c r="B29" s="92" t="str">
        <f>IFERROR(__xludf.DUMMYFUNCTION("IMPORTXML(""https://nominatim.openstreetmap.org/search?q=""&amp;SUBSTITUTE($A29,"" "",""+"")&amp;""+Solo&amp;format=xml&amp;limit=1"",""//place/@lat"")"),"Loading...")</f>
        <v>Loading...</v>
      </c>
      <c r="C29" s="92" t="str">
        <f>IFERROR(__xludf.DUMMYFUNCTION("IMPORTXML(""https://nominatim.openstreetmap.org/search?q=""&amp;SUBSTITUTE($A29,"" "",""+"")&amp;""+Solo&amp;format=xml&amp;limit=1"",""//place/@lon"")"),"Loading...")</f>
        <v>Loading...</v>
      </c>
      <c r="F29" s="2" t="s">
        <v>267</v>
      </c>
      <c r="G29" s="92" t="str">
        <f>IFERROR(__xludf.DUMMYFUNCTION("IMPORTXML(""https://nominatim.openstreetmap.org/search?q=""&amp;SUBSTITUTE($F29,"" "",""+"")&amp;""+Solo&amp;format=xml&amp;limit=1"",""//place/@lat"")"),"Loading...")</f>
        <v>Loading...</v>
      </c>
      <c r="H29" s="92" t="str">
        <f>IFERROR(__xludf.DUMMYFUNCTION("IMPORTXML(""https://nominatim.openstreetmap.org/search?q=""&amp;SUBSTITUTE($F29,"" "",""+"")&amp;""+Solo&amp;format=xml&amp;limit=1"",""//place/@lon"")"),"Loading...")</f>
        <v>Loading...</v>
      </c>
      <c r="J29" s="2" t="s">
        <v>299</v>
      </c>
      <c r="K29" s="92" t="str">
        <f>IFERROR(__xludf.DUMMYFUNCTION("IMPORTXML(""https://nominatim.openstreetmap.org/search?q=""&amp;SUBSTITUTE($J29,"" "",""+"")&amp;""+Solo&amp;format=xml&amp;limit=1"",""//place/@lat"")"),"Loading...")</f>
        <v>Loading...</v>
      </c>
      <c r="L29" s="92" t="str">
        <f>IFERROR(__xludf.DUMMYFUNCTION("IMPORTXML(""https://nominatim.openstreetmap.org/search?q=""&amp;SUBSTITUTE($J29,"" "",""+"")&amp;""+Solo&amp;format=xml&amp;limit=1"",""//place/@lon"")"),"#N/A")</f>
        <v>#N/A</v>
      </c>
      <c r="N29" s="2" t="s">
        <v>635</v>
      </c>
      <c r="O29" s="2">
        <v>-7.55554</v>
      </c>
      <c r="P29" s="92" t="str">
        <f>IFERROR(__xludf.DUMMYFUNCTION("IMPORTXML(""https://nominatim.openstreetmap.org/search?q=""&amp;SUBSTITUTE($N29,"" "",""+"")&amp;""+Solo&amp;format=xml&amp;limit=1"",""//place/@lon"")"),"Loading...")</f>
        <v>Loading...</v>
      </c>
      <c r="R29" s="2" t="s">
        <v>192</v>
      </c>
      <c r="S29" s="92" t="str">
        <f>IFERROR(__xludf.DUMMYFUNCTION("IMPORTXML(""https://nominatim.openstreetmap.org/search?q=""&amp;SUBSTITUTE($R29,"" "",""+"")&amp;""+Solo&amp;format=xml&amp;limit=1"",""//place/@lat"")"),"#N/A")</f>
        <v>#N/A</v>
      </c>
      <c r="T29" s="92" t="str">
        <f>IFERROR(__xludf.DUMMYFUNCTION("IMPORTXML(""https://nominatim.openstreetmap.org/search?q=""&amp;SUBSTITUTE($R29,"" "",""+"")&amp;""+Solo&amp;format=xml&amp;limit=1"",""//place/@lon"")"),"Loading...")</f>
        <v>Loading...</v>
      </c>
      <c r="AD29" s="2" t="s">
        <v>171</v>
      </c>
      <c r="AE29" s="92" t="str">
        <f>IFERROR(__xludf.DUMMYFUNCTION("IMPORTXML(""https://nominatim.openstreetmap.org/search?q=""&amp;SUBSTITUTE($AD29,"" "",""+"")&amp;""+Solo&amp;format=xml&amp;limit=1"",""//place/@lat"")"),"Loading...")</f>
        <v>Loading...</v>
      </c>
      <c r="AF29" s="92" t="str">
        <f>IFERROR(__xludf.DUMMYFUNCTION("IMPORTXML(""https://nominatim.openstreetmap.org/search?q=""&amp;SUBSTITUTE($AD29,"" "",""+"")&amp;""+Solo&amp;format=xml&amp;limit=1"",""//place/@lon"")"),"#N/A")</f>
        <v>#N/A</v>
      </c>
      <c r="AH29" s="2" t="s">
        <v>451</v>
      </c>
      <c r="AI29" s="92" t="str">
        <f>IFERROR(__xludf.DUMMYFUNCTION("IMPORTXML(""https://nominatim.openstreetmap.org/search?q=""&amp;SUBSTITUTE($AH29,"" "",""+"")&amp;""+Solo&amp;format=xml&amp;limit=1"",""//place/@lat"")"),"Loading...")</f>
        <v>Loading...</v>
      </c>
      <c r="AJ29" s="92" t="str">
        <f>IFERROR(__xludf.DUMMYFUNCTION("IMPORTXML(""https://nominatim.openstreetmap.org/search?q=""&amp;SUBSTITUTE($AH29,"" "",""+"")&amp;""+Solo&amp;format=xml&amp;limit=1"",""//place/@lon"")"),"Loading...")</f>
        <v>Loading...</v>
      </c>
    </row>
    <row r="30">
      <c r="A30" s="92" t="s">
        <v>137</v>
      </c>
      <c r="B30" s="92" t="str">
        <f>IFERROR(__xludf.DUMMYFUNCTION("IMPORTXML(""https://nominatim.openstreetmap.org/search?q=""&amp;SUBSTITUTE($A30,"" "",""+"")&amp;""+Solo&amp;format=xml&amp;limit=1"",""//place/@lat"")"),"Loading...")</f>
        <v>Loading...</v>
      </c>
      <c r="C30" s="92" t="str">
        <f>IFERROR(__xludf.DUMMYFUNCTION("IMPORTXML(""https://nominatim.openstreetmap.org/search?q=""&amp;SUBSTITUTE($A30,"" "",""+"")&amp;""+Solo&amp;format=xml&amp;limit=1"",""//place/@lon"")"),"Loading...")</f>
        <v>Loading...</v>
      </c>
      <c r="F30" s="2" t="s">
        <v>268</v>
      </c>
      <c r="G30" s="92" t="str">
        <f>IFERROR(__xludf.DUMMYFUNCTION("IMPORTXML(""https://nominatim.openstreetmap.org/search?q=""&amp;SUBSTITUTE($F30,"" "",""+"")&amp;""+Solo&amp;format=xml&amp;limit=1"",""//place/@lat"")"),"Loading...")</f>
        <v>Loading...</v>
      </c>
      <c r="H30" s="92" t="str">
        <f>IFERROR(__xludf.DUMMYFUNCTION("IMPORTXML(""https://nominatim.openstreetmap.org/search?q=""&amp;SUBSTITUTE($F30,"" "",""+"")&amp;""+Solo&amp;format=xml&amp;limit=1"",""//place/@lon"")"),"Loading...")</f>
        <v>Loading...</v>
      </c>
      <c r="J30" s="2" t="s">
        <v>300</v>
      </c>
      <c r="K30" s="92" t="str">
        <f>IFERROR(__xludf.DUMMYFUNCTION("IMPORTXML(""https://nominatim.openstreetmap.org/search?q=""&amp;SUBSTITUTE($J30,"" "",""+"")&amp;""+Solo&amp;format=xml&amp;limit=1"",""//place/@lat"")"),"Loading...")</f>
        <v>Loading...</v>
      </c>
      <c r="L30" s="92" t="str">
        <f>IFERROR(__xludf.DUMMYFUNCTION("IMPORTXML(""https://nominatim.openstreetmap.org/search?q=""&amp;SUBSTITUTE($J30,"" "",""+"")&amp;""+Solo&amp;format=xml&amp;limit=1"",""//place/@lon"")"),"Loading...")</f>
        <v>Loading...</v>
      </c>
      <c r="N30" s="2" t="s">
        <v>636</v>
      </c>
      <c r="O30" s="92" t="str">
        <f>IFERROR(__xludf.DUMMYFUNCTION("IMPORTXML(""https://nominatim.openstreetmap.org/search?q=""&amp;SUBSTITUTE($N30,"" "",""+"")&amp;""+Solo&amp;format=xml&amp;limit=1"",""//place/@lat"")"),"#N/A")</f>
        <v>#N/A</v>
      </c>
      <c r="P30" s="92" t="str">
        <f>IFERROR(__xludf.DUMMYFUNCTION("IMPORTXML(""https://nominatim.openstreetmap.org/search?q=""&amp;SUBSTITUTE($N30,"" "",""+"")&amp;""+Solo&amp;format=xml&amp;limit=1"",""//place/@lon"")"),"Loading...")</f>
        <v>Loading...</v>
      </c>
      <c r="R30" s="2" t="s">
        <v>180</v>
      </c>
      <c r="S30" s="92" t="str">
        <f>IFERROR(__xludf.DUMMYFUNCTION("IMPORTXML(""https://nominatim.openstreetmap.org/search?q=""&amp;SUBSTITUTE($R30,"" "",""+"")&amp;""+Solo&amp;format=xml&amp;limit=1"",""//place/@lat"")"),"Loading...")</f>
        <v>Loading...</v>
      </c>
      <c r="T30" s="92" t="str">
        <f>IFERROR(__xludf.DUMMYFUNCTION("IMPORTXML(""https://nominatim.openstreetmap.org/search?q=""&amp;SUBSTITUTE($R30,"" "",""+"")&amp;""+Solo&amp;format=xml&amp;limit=1"",""//place/@lon"")"),"Loading...")</f>
        <v>Loading...</v>
      </c>
      <c r="AD30" s="2" t="s">
        <v>172</v>
      </c>
      <c r="AE30" s="92" t="str">
        <f>IFERROR(__xludf.DUMMYFUNCTION("IMPORTXML(""https://nominatim.openstreetmap.org/search?q=""&amp;SUBSTITUTE($AD30,"" "",""+"")&amp;""+Solo&amp;format=xml&amp;limit=1"",""//place/@lat"")"),"Loading...")</f>
        <v>Loading...</v>
      </c>
      <c r="AF30" s="92" t="str">
        <f>IFERROR(__xludf.DUMMYFUNCTION("IMPORTXML(""https://nominatim.openstreetmap.org/search?q=""&amp;SUBSTITUTE($AD30,"" "",""+"")&amp;""+Solo&amp;format=xml&amp;limit=1"",""//place/@lon"")"),"#N/A")</f>
        <v>#N/A</v>
      </c>
      <c r="AH30" s="2" t="s">
        <v>452</v>
      </c>
      <c r="AI30" s="92" t="str">
        <f>IFERROR(__xludf.DUMMYFUNCTION("IMPORTXML(""https://nominatim.openstreetmap.org/search?q=""&amp;SUBSTITUTE($AH30,"" "",""+"")&amp;""+Solo&amp;format=xml&amp;limit=1"",""//place/@lat"")"),"#N/A")</f>
        <v>#N/A</v>
      </c>
      <c r="AJ30" s="92" t="str">
        <f>IFERROR(__xludf.DUMMYFUNCTION("IMPORTXML(""https://nominatim.openstreetmap.org/search?q=""&amp;SUBSTITUTE($AH30,"" "",""+"")&amp;""+Solo&amp;format=xml&amp;limit=1"",""//place/@lon"")"),"Loading...")</f>
        <v>Loading...</v>
      </c>
    </row>
    <row r="31">
      <c r="A31" s="92" t="s">
        <v>141</v>
      </c>
      <c r="B31" s="92" t="str">
        <f>IFERROR(__xludf.DUMMYFUNCTION("IMPORTXML(""https://nominatim.openstreetmap.org/search?q=""&amp;SUBSTITUTE($A31,"" "",""+"")&amp;""+Solo&amp;format=xml&amp;limit=1"",""//place/@lat"")"),"Loading...")</f>
        <v>Loading...</v>
      </c>
      <c r="C31" s="92" t="str">
        <f>IFERROR(__xludf.DUMMYFUNCTION("IMPORTXML(""https://nominatim.openstreetmap.org/search?q=""&amp;SUBSTITUTE($A31,"" "",""+"")&amp;""+Solo&amp;format=xml&amp;limit=1"",""//place/@lon"")"),"Loading...")</f>
        <v>Loading...</v>
      </c>
      <c r="F31" s="2" t="s">
        <v>269</v>
      </c>
      <c r="G31" s="92" t="str">
        <f>IFERROR(__xludf.DUMMYFUNCTION("IMPORTXML(""https://nominatim.openstreetmap.org/search?q=""&amp;SUBSTITUTE($F31,"" "",""+"")&amp;""+Solo&amp;format=xml&amp;limit=1"",""//place/@lat"")"),"Loading...")</f>
        <v>Loading...</v>
      </c>
      <c r="H31" s="92" t="str">
        <f>IFERROR(__xludf.DUMMYFUNCTION("IMPORTXML(""https://nominatim.openstreetmap.org/search?q=""&amp;SUBSTITUTE($F31,"" "",""+"")&amp;""+Solo&amp;format=xml&amp;limit=1"",""//place/@lon"")"),"Loading...")</f>
        <v>Loading...</v>
      </c>
      <c r="J31" s="2" t="s">
        <v>637</v>
      </c>
      <c r="K31" s="92" t="str">
        <f>IFERROR(__xludf.DUMMYFUNCTION("IMPORTXML(""https://nominatim.openstreetmap.org/search?q=""&amp;SUBSTITUTE($J31,"" "",""+"")&amp;""+Solo&amp;format=xml&amp;limit=1"",""//place/@lat"")"),"Loading...")</f>
        <v>Loading...</v>
      </c>
      <c r="L31" s="92" t="str">
        <f>IFERROR(__xludf.DUMMYFUNCTION("IMPORTXML(""https://nominatim.openstreetmap.org/search?q=""&amp;SUBSTITUTE($J31,"" "",""+"")&amp;""+Solo&amp;format=xml&amp;limit=1"",""//place/@lon"")"),"#N/A")</f>
        <v>#N/A</v>
      </c>
      <c r="N31" s="2" t="s">
        <v>638</v>
      </c>
      <c r="O31" s="92" t="str">
        <f>IFERROR(__xludf.DUMMYFUNCTION("IMPORTXML(""https://nominatim.openstreetmap.org/search?q=""&amp;SUBSTITUTE($N31,"" "",""+"")&amp;""+Solo&amp;format=xml&amp;limit=1"",""//place/@lat"")"),"Loading...")</f>
        <v>Loading...</v>
      </c>
      <c r="P31" s="92" t="str">
        <f>IFERROR(__xludf.DUMMYFUNCTION("IMPORTXML(""https://nominatim.openstreetmap.org/search?q=""&amp;SUBSTITUTE($N31,"" "",""+"")&amp;""+Solo&amp;format=xml&amp;limit=1"",""//place/@lon"")"),"#N/A")</f>
        <v>#N/A</v>
      </c>
      <c r="R31" s="2" t="s">
        <v>179</v>
      </c>
      <c r="S31" s="92" t="str">
        <f>IFERROR(__xludf.DUMMYFUNCTION("IMPORTXML(""https://nominatim.openstreetmap.org/search?q=""&amp;SUBSTITUTE($R31,"" "",""+"")&amp;""+Solo&amp;format=xml&amp;limit=1"",""//place/@lat"")"),"#N/A")</f>
        <v>#N/A</v>
      </c>
      <c r="T31" s="92" t="str">
        <f>IFERROR(__xludf.DUMMYFUNCTION("IMPORTXML(""https://nominatim.openstreetmap.org/search?q=""&amp;SUBSTITUTE($R31,"" "",""+"")&amp;""+Solo&amp;format=xml&amp;limit=1"",""//place/@lon"")"),"Loading...")</f>
        <v>Loading...</v>
      </c>
      <c r="AD31" s="2" t="s">
        <v>225</v>
      </c>
      <c r="AE31" s="92" t="str">
        <f>IFERROR(__xludf.DUMMYFUNCTION("IMPORTXML(""https://nominatim.openstreetmap.org/search?q=""&amp;SUBSTITUTE($AD31,"" "",""+"")&amp;""+Solo&amp;format=xml&amp;limit=1"",""//place/@lat"")"),"#N/A")</f>
        <v>#N/A</v>
      </c>
      <c r="AF31" s="92" t="str">
        <f>IFERROR(__xludf.DUMMYFUNCTION("IMPORTXML(""https://nominatim.openstreetmap.org/search?q=""&amp;SUBSTITUTE($AD31,"" "",""+"")&amp;""+Solo&amp;format=xml&amp;limit=1"",""//place/@lon"")"),"Loading...")</f>
        <v>Loading...</v>
      </c>
      <c r="AH31" s="2" t="s">
        <v>193</v>
      </c>
      <c r="AI31" s="92" t="str">
        <f>IFERROR(__xludf.DUMMYFUNCTION("IMPORTXML(""https://nominatim.openstreetmap.org/search?q=""&amp;SUBSTITUTE($AH31,"" "",""+"")&amp;""+Solo&amp;format=xml&amp;limit=1"",""//place/@lat"")"),"#N/A")</f>
        <v>#N/A</v>
      </c>
      <c r="AJ31" s="92" t="str">
        <f>IFERROR(__xludf.DUMMYFUNCTION("IMPORTXML(""https://nominatim.openstreetmap.org/search?q=""&amp;SUBSTITUTE($AH31,"" "",""+"")&amp;""+Solo&amp;format=xml&amp;limit=1"",""//place/@lon"")"),"Loading...")</f>
        <v>Loading...</v>
      </c>
    </row>
    <row r="32">
      <c r="A32" s="92" t="s">
        <v>142</v>
      </c>
      <c r="B32" s="92" t="str">
        <f>IFERROR(__xludf.DUMMYFUNCTION("IMPORTXML(""https://nominatim.openstreetmap.org/search?q=""&amp;SUBSTITUTE($A32,"" "",""+"")&amp;""+Solo&amp;format=xml&amp;limit=1"",""//place/@lat"")"),"Loading...")</f>
        <v>Loading...</v>
      </c>
      <c r="C32" s="92" t="str">
        <f>IFERROR(__xludf.DUMMYFUNCTION("IMPORTXML(""https://nominatim.openstreetmap.org/search?q=""&amp;SUBSTITUTE($A32,"" "",""+"")&amp;""+Solo&amp;format=xml&amp;limit=1"",""//place/@lon"")"),"Loading...")</f>
        <v>Loading...</v>
      </c>
      <c r="F32" s="2" t="s">
        <v>270</v>
      </c>
      <c r="G32" s="92" t="str">
        <f>IFERROR(__xludf.DUMMYFUNCTION("IMPORTXML(""https://nominatim.openstreetmap.org/search?q=""&amp;SUBSTITUTE($F32,"" "",""+"")&amp;""+Solo&amp;format=xml&amp;limit=1"",""//place/@lat"")"),"#N/A")</f>
        <v>#N/A</v>
      </c>
      <c r="H32" s="92" t="str">
        <f>IFERROR(__xludf.DUMMYFUNCTION("IMPORTXML(""https://nominatim.openstreetmap.org/search?q=""&amp;SUBSTITUTE($F32,"" "",""+"")&amp;""+Solo&amp;format=xml&amp;limit=1"",""//place/@lon"")"),"Loading...")</f>
        <v>Loading...</v>
      </c>
      <c r="J32" s="2" t="s">
        <v>639</v>
      </c>
      <c r="K32" s="92" t="str">
        <f>IFERROR(__xludf.DUMMYFUNCTION("IMPORTXML(""https://nominatim.openstreetmap.org/search?q=""&amp;SUBSTITUTE($J32,"" "",""+"")&amp;""+Solo&amp;format=xml&amp;limit=1"",""//place/@lat"")"),"Loading...")</f>
        <v>Loading...</v>
      </c>
      <c r="L32" s="92" t="str">
        <f>IFERROR(__xludf.DUMMYFUNCTION("IMPORTXML(""https://nominatim.openstreetmap.org/search?q=""&amp;SUBSTITUTE($J32,"" "",""+"")&amp;""+Solo&amp;format=xml&amp;limit=1"",""//place/@lon"")"),"#N/A")</f>
        <v>#N/A</v>
      </c>
      <c r="N32" s="2" t="s">
        <v>640</v>
      </c>
      <c r="O32" s="92" t="str">
        <f>IFERROR(__xludf.DUMMYFUNCTION("IMPORTXML(""https://nominatim.openstreetmap.org/search?q=""&amp;SUBSTITUTE($N32,"" "",""+"")&amp;""+Solo&amp;format=xml&amp;limit=1"",""//place/@lat"")"),"#N/A")</f>
        <v>#N/A</v>
      </c>
      <c r="P32" s="92" t="str">
        <f>IFERROR(__xludf.DUMMYFUNCTION("IMPORTXML(""https://nominatim.openstreetmap.org/search?q=""&amp;SUBSTITUTE($N32,"" "",""+"")&amp;""+Solo&amp;format=xml&amp;limit=1"",""//place/@lon"")"),"Loading...")</f>
        <v>Loading...</v>
      </c>
      <c r="R32" s="2" t="s">
        <v>178</v>
      </c>
      <c r="S32" s="92" t="str">
        <f>IFERROR(__xludf.DUMMYFUNCTION("IMPORTXML(""https://nominatim.openstreetmap.org/search?q=""&amp;SUBSTITUTE($R32,"" "",""+"")&amp;""+Solo&amp;format=xml&amp;limit=1"",""//place/@lat"")"),"Loading...")</f>
        <v>Loading...</v>
      </c>
      <c r="T32" s="92" t="str">
        <f>IFERROR(__xludf.DUMMYFUNCTION("IMPORTXML(""https://nominatim.openstreetmap.org/search?q=""&amp;SUBSTITUTE($R32,"" "",""+"")&amp;""+Solo&amp;format=xml&amp;limit=1"",""//place/@lon"")"),"Loading...")</f>
        <v>Loading...</v>
      </c>
      <c r="AD32" s="2" t="s">
        <v>518</v>
      </c>
      <c r="AE32" s="92" t="str">
        <f>IFERROR(__xludf.DUMMYFUNCTION("IMPORTXML(""https://nominatim.openstreetmap.org/search?q=""&amp;SUBSTITUTE($AD32,"" "",""+"")&amp;""+Solo&amp;format=xml&amp;limit=1"",""//place/@lat"")"),"Loading...")</f>
        <v>Loading...</v>
      </c>
      <c r="AF32" s="92" t="str">
        <f>IFERROR(__xludf.DUMMYFUNCTION("IMPORTXML(""https://nominatim.openstreetmap.org/search?q=""&amp;SUBSTITUTE($AD32,"" "",""+"")&amp;""+Solo&amp;format=xml&amp;limit=1"",""//place/@lon"")"),"Loading...")</f>
        <v>Loading...</v>
      </c>
      <c r="AH32" s="2" t="s">
        <v>194</v>
      </c>
      <c r="AI32" s="92" t="str">
        <f>IFERROR(__xludf.DUMMYFUNCTION("IMPORTXML(""https://nominatim.openstreetmap.org/search?q=""&amp;SUBSTITUTE($AH32,"" "",""+"")&amp;""+Solo&amp;format=xml&amp;limit=1"",""//place/@lat"")"),"Loading...")</f>
        <v>Loading...</v>
      </c>
      <c r="AJ32" s="92" t="str">
        <f>IFERROR(__xludf.DUMMYFUNCTION("IMPORTXML(""https://nominatim.openstreetmap.org/search?q=""&amp;SUBSTITUTE($AH32,"" "",""+"")&amp;""+Solo&amp;format=xml&amp;limit=1"",""//place/@lon"")"),"Loading...")</f>
        <v>Loading...</v>
      </c>
    </row>
    <row r="33">
      <c r="A33" s="92" t="s">
        <v>641</v>
      </c>
      <c r="B33" s="92" t="str">
        <f>IFERROR(__xludf.DUMMYFUNCTION("IMPORTXML(""https://nominatim.openstreetmap.org/search?q=""&amp;SUBSTITUTE($A33,"" "",""+"")&amp;""+Solo&amp;format=xml&amp;limit=1"",""//place/@lat"")"),"Loading...")</f>
        <v>Loading...</v>
      </c>
      <c r="C33" s="92" t="str">
        <f>IFERROR(__xludf.DUMMYFUNCTION("IMPORTXML(""https://nominatim.openstreetmap.org/search?q=""&amp;SUBSTITUTE($A33,"" "",""+"")&amp;""+Solo&amp;format=xml&amp;limit=1"",""//place/@lon"")"),"Loading...")</f>
        <v>Loading...</v>
      </c>
      <c r="F33" s="2" t="s">
        <v>642</v>
      </c>
      <c r="G33" s="92" t="str">
        <f>IFERROR(__xludf.DUMMYFUNCTION("IMPORTXML(""https://nominatim.openstreetmap.org/search?q=""&amp;SUBSTITUTE($F33,"" "",""+"")&amp;""+Solo&amp;format=xml&amp;limit=1"",""//place/@lat"")"),"#N/A")</f>
        <v>#N/A</v>
      </c>
      <c r="H33" s="92" t="str">
        <f>IFERROR(__xludf.DUMMYFUNCTION("IMPORTXML(""https://nominatim.openstreetmap.org/search?q=""&amp;SUBSTITUTE($F33,"" "",""+"")&amp;""+Solo&amp;format=xml&amp;limit=1"",""//place/@lon"")"),"Loading...")</f>
        <v>Loading...</v>
      </c>
      <c r="J33" s="2" t="s">
        <v>198</v>
      </c>
      <c r="K33" s="92" t="str">
        <f>IFERROR(__xludf.DUMMYFUNCTION("IMPORTXML(""https://nominatim.openstreetmap.org/search?q=""&amp;SUBSTITUTE($J33,"" "",""+"")&amp;""+Solo&amp;format=xml&amp;limit=1"",""//place/@lat"")"),"#N/A")</f>
        <v>#N/A</v>
      </c>
      <c r="L33" s="92" t="str">
        <f>IFERROR(__xludf.DUMMYFUNCTION("IMPORTXML(""https://nominatim.openstreetmap.org/search?q=""&amp;SUBSTITUTE($J33,"" "",""+"")&amp;""+Solo&amp;format=xml&amp;limit=1"",""//place/@lon"")"),"Loading...")</f>
        <v>Loading...</v>
      </c>
      <c r="N33" s="2" t="s">
        <v>211</v>
      </c>
      <c r="O33" s="92" t="str">
        <f>IFERROR(__xludf.DUMMYFUNCTION("IMPORTXML(""https://nominatim.openstreetmap.org/search?q=""&amp;SUBSTITUTE($N33,"" "",""+"")&amp;""+Solo&amp;format=xml&amp;limit=1"",""//place/@lat"")"),"Loading...")</f>
        <v>Loading...</v>
      </c>
      <c r="P33" s="92" t="str">
        <f>IFERROR(__xludf.DUMMYFUNCTION("IMPORTXML(""https://nominatim.openstreetmap.org/search?q=""&amp;SUBSTITUTE($N33,"" "",""+"")&amp;""+Solo&amp;format=xml&amp;limit=1"",""//place/@lon"")"),"Loading...")</f>
        <v>Loading...</v>
      </c>
      <c r="R33" s="2" t="s">
        <v>353</v>
      </c>
      <c r="S33" s="92" t="str">
        <f>IFERROR(__xludf.DUMMYFUNCTION("IMPORTXML(""https://nominatim.openstreetmap.org/search?q=""&amp;SUBSTITUTE($R33,"" "",""+"")&amp;""+Solo&amp;format=xml&amp;limit=1"",""//place/@lat"")"),"Loading...")</f>
        <v>Loading...</v>
      </c>
      <c r="T33" s="92" t="str">
        <f>IFERROR(__xludf.DUMMYFUNCTION("IMPORTXML(""https://nominatim.openstreetmap.org/search?q=""&amp;SUBSTITUTE($R33,"" "",""+"")&amp;""+Solo&amp;format=xml&amp;limit=1"",""//place/@lon"")"),"#N/A")</f>
        <v>#N/A</v>
      </c>
      <c r="AD33" s="2" t="s">
        <v>227</v>
      </c>
      <c r="AE33" s="92" t="str">
        <f>IFERROR(__xludf.DUMMYFUNCTION("IMPORTXML(""https://nominatim.openstreetmap.org/search?q=""&amp;SUBSTITUTE($AD33,"" "",""+"")&amp;""+Solo&amp;format=xml&amp;limit=1"",""//place/@lat"")"),"Loading...")</f>
        <v>Loading...</v>
      </c>
      <c r="AF33" s="92" t="str">
        <f>IFERROR(__xludf.DUMMYFUNCTION("IMPORTXML(""https://nominatim.openstreetmap.org/search?q=""&amp;SUBSTITUTE($AD33,"" "",""+"")&amp;""+Solo&amp;format=xml&amp;limit=1"",""//place/@lon"")"),"Loading...")</f>
        <v>Loading...</v>
      </c>
      <c r="AH33" s="2" t="s">
        <v>195</v>
      </c>
      <c r="AI33" s="92" t="str">
        <f>IFERROR(__xludf.DUMMYFUNCTION("IMPORTXML(""https://nominatim.openstreetmap.org/search?q=""&amp;SUBSTITUTE($AH33,"" "",""+"")&amp;""+Solo&amp;format=xml&amp;limit=1"",""//place/@lat"")"),"Loading...")</f>
        <v>Loading...</v>
      </c>
      <c r="AJ33" s="92" t="str">
        <f>IFERROR(__xludf.DUMMYFUNCTION("IMPORTXML(""https://nominatim.openstreetmap.org/search?q=""&amp;SUBSTITUTE($AH33,"" "",""+"")&amp;""+Solo&amp;format=xml&amp;limit=1"",""//place/@lon"")"),"#N/A")</f>
        <v>#N/A</v>
      </c>
    </row>
    <row r="34">
      <c r="A34" s="92" t="s">
        <v>643</v>
      </c>
      <c r="B34" s="92" t="str">
        <f>IFERROR(__xludf.DUMMYFUNCTION("IMPORTXML(""https://nominatim.openstreetmap.org/search?q=""&amp;SUBSTITUTE($A34,"" "",""+"")&amp;""+Solo&amp;format=xml&amp;limit=1"",""//place/@lat"")"),"Loading...")</f>
        <v>Loading...</v>
      </c>
      <c r="C34" s="92">
        <f>IFERROR(__xludf.DUMMYFUNCTION("IMPORTXML(""https://nominatim.openstreetmap.org/search?q=""&amp;SUBSTITUTE($A34,"" "",""+"")&amp;""+Solo&amp;format=xml&amp;limit=1"",""//place/@lon"")"),110.8085878)</f>
        <v>110.8085878</v>
      </c>
      <c r="F34" s="2" t="s">
        <v>272</v>
      </c>
      <c r="G34" s="92" t="str">
        <f>IFERROR(__xludf.DUMMYFUNCTION("IMPORTXML(""https://nominatim.openstreetmap.org/search?q=""&amp;SUBSTITUTE($F34,"" "",""+"")&amp;""+Solo&amp;format=xml&amp;limit=1"",""//place/@lat"")"),"#N/A")</f>
        <v>#N/A</v>
      </c>
      <c r="H34" s="92" t="str">
        <f>IFERROR(__xludf.DUMMYFUNCTION("IMPORTXML(""https://nominatim.openstreetmap.org/search?q=""&amp;SUBSTITUTE($F34,"" "",""+"")&amp;""+Solo&amp;format=xml&amp;limit=1"",""//place/@lon"")"),"Loading...")</f>
        <v>Loading...</v>
      </c>
      <c r="J34" s="2" t="s">
        <v>199</v>
      </c>
      <c r="K34" s="92" t="str">
        <f>IFERROR(__xludf.DUMMYFUNCTION("IMPORTXML(""https://nominatim.openstreetmap.org/search?q=""&amp;SUBSTITUTE($J34,"" "",""+"")&amp;""+Solo&amp;format=xml&amp;limit=1"",""//place/@lat"")"),"#N/A")</f>
        <v>#N/A</v>
      </c>
      <c r="L34" s="92" t="str">
        <f>IFERROR(__xludf.DUMMYFUNCTION("IMPORTXML(""https://nominatim.openstreetmap.org/search?q=""&amp;SUBSTITUTE($J34,"" "",""+"")&amp;""+Solo&amp;format=xml&amp;limit=1"",""//place/@lon"")"),"Loading...")</f>
        <v>Loading...</v>
      </c>
      <c r="N34" s="2" t="s">
        <v>644</v>
      </c>
      <c r="O34" s="92" t="str">
        <f>IFERROR(__xludf.DUMMYFUNCTION("IMPORTXML(""https://nominatim.openstreetmap.org/search?q=""&amp;SUBSTITUTE($N34,"" "",""+"")&amp;""+Solo&amp;format=xml&amp;limit=1"",""//place/@lat"")"),"Loading...")</f>
        <v>Loading...</v>
      </c>
      <c r="P34" s="92" t="str">
        <f>IFERROR(__xludf.DUMMYFUNCTION("IMPORTXML(""https://nominatim.openstreetmap.org/search?q=""&amp;SUBSTITUTE($N34,"" "",""+"")&amp;""+Solo&amp;format=xml&amp;limit=1"",""//place/@lon"")"),"Loading...")</f>
        <v>Loading...</v>
      </c>
      <c r="R34" s="2" t="s">
        <v>177</v>
      </c>
      <c r="S34" s="92" t="str">
        <f>IFERROR(__xludf.DUMMYFUNCTION("IMPORTXML(""https://nominatim.openstreetmap.org/search?q=""&amp;SUBSTITUTE($R34,"" "",""+"")&amp;""+Solo&amp;format=xml&amp;limit=1"",""//place/@lat"")"),"Loading...")</f>
        <v>Loading...</v>
      </c>
      <c r="T34" s="92" t="str">
        <f>IFERROR(__xludf.DUMMYFUNCTION("IMPORTXML(""https://nominatim.openstreetmap.org/search?q=""&amp;SUBSTITUTE($R34,"" "",""+"")&amp;""+Solo&amp;format=xml&amp;limit=1"",""//place/@lon"")"),"#N/A")</f>
        <v>#N/A</v>
      </c>
      <c r="AD34" s="2" t="s">
        <v>543</v>
      </c>
      <c r="AE34" s="92" t="str">
        <f>IFERROR(__xludf.DUMMYFUNCTION("IMPORTXML(""https://nominatim.openstreetmap.org/search?q=""&amp;SUBSTITUTE($AD34,"" "",""+"")&amp;""+Solo&amp;format=xml&amp;limit=1"",""//place/@lat"")"),"#N/A")</f>
        <v>#N/A</v>
      </c>
      <c r="AF34" s="92" t="str">
        <f>IFERROR(__xludf.DUMMYFUNCTION("IMPORTXML(""https://nominatim.openstreetmap.org/search?q=""&amp;SUBSTITUTE($AD34,"" "",""+"")&amp;""+Solo&amp;format=xml&amp;limit=1"",""//place/@lon"")"),"Loading...")</f>
        <v>Loading...</v>
      </c>
      <c r="AH34" s="2" t="s">
        <v>645</v>
      </c>
      <c r="AI34" s="92" t="str">
        <f>IFERROR(__xludf.DUMMYFUNCTION("IMPORTXML(""https://nominatim.openstreetmap.org/search?q=""&amp;SUBSTITUTE($AH34,"" "",""+"")&amp;""+Solo&amp;format=xml&amp;limit=1"",""//place/@lat"")"),"Loading...")</f>
        <v>Loading...</v>
      </c>
      <c r="AJ34" s="92" t="str">
        <f>IFERROR(__xludf.DUMMYFUNCTION("IMPORTXML(""https://nominatim.openstreetmap.org/search?q=""&amp;SUBSTITUTE($AH34,"" "",""+"")&amp;""+Solo&amp;format=xml&amp;limit=1"",""//place/@lon"")"),"#N/A")</f>
        <v>#N/A</v>
      </c>
    </row>
    <row r="35">
      <c r="A35" s="92" t="s">
        <v>646</v>
      </c>
      <c r="B35" s="92" t="str">
        <f>IFERROR(__xludf.DUMMYFUNCTION("IMPORTXML(""https://nominatim.openstreetmap.org/search?q=""&amp;SUBSTITUTE($A35,"" "",""+"")&amp;""+Solo&amp;format=xml&amp;limit=1"",""//place/@lat"")"),"Loading...")</f>
        <v>Loading...</v>
      </c>
      <c r="C35" s="92" t="str">
        <f>IFERROR(__xludf.DUMMYFUNCTION("IMPORTXML(""https://nominatim.openstreetmap.org/search?q=""&amp;SUBSTITUTE($A35,"" "",""+"")&amp;""+Solo&amp;format=xml&amp;limit=1"",""//place/@lon"")"),"#N/A")</f>
        <v>#N/A</v>
      </c>
      <c r="F35" s="2" t="s">
        <v>273</v>
      </c>
      <c r="G35" s="92" t="str">
        <f>IFERROR(__xludf.DUMMYFUNCTION("IMPORTXML(""https://nominatim.openstreetmap.org/search?q=""&amp;SUBSTITUTE($F35,"" "",""+"")&amp;""+Solo&amp;format=xml&amp;limit=1"",""//place/@lat"")"),"Loading...")</f>
        <v>Loading...</v>
      </c>
      <c r="H35" s="92" t="str">
        <f>IFERROR(__xludf.DUMMYFUNCTION("IMPORTXML(""https://nominatim.openstreetmap.org/search?q=""&amp;SUBSTITUTE($F35,"" "",""+"")&amp;""+Solo&amp;format=xml&amp;limit=1"",""//place/@lon"")"),"Loading...")</f>
        <v>Loading...</v>
      </c>
      <c r="J35" s="2" t="s">
        <v>647</v>
      </c>
      <c r="K35" s="92" t="str">
        <f>IFERROR(__xludf.DUMMYFUNCTION("IMPORTXML(""https://nominatim.openstreetmap.org/search?q=""&amp;SUBSTITUTE($J35,"" "",""+"")&amp;""+Solo&amp;format=xml&amp;limit=1"",""//place/@lat"")"),"Loading...")</f>
        <v>Loading...</v>
      </c>
      <c r="L35" s="92" t="str">
        <f>IFERROR(__xludf.DUMMYFUNCTION("IMPORTXML(""https://nominatim.openstreetmap.org/search?q=""&amp;SUBSTITUTE($J35,"" "",""+"")&amp;""+Solo&amp;format=xml&amp;limit=1"",""//place/@lon"")"),"Loading...")</f>
        <v>Loading...</v>
      </c>
      <c r="N35" s="2" t="s">
        <v>648</v>
      </c>
      <c r="O35" s="92" t="str">
        <f>IFERROR(__xludf.DUMMYFUNCTION("IMPORTXML(""https://nominatim.openstreetmap.org/search?q=""&amp;SUBSTITUTE($N35,"" "",""+"")&amp;""+Solo&amp;format=xml&amp;limit=1"",""//place/@lat"")"),"Loading...")</f>
        <v>Loading...</v>
      </c>
      <c r="P35" s="92" t="str">
        <f>IFERROR(__xludf.DUMMYFUNCTION("IMPORTXML(""https://nominatim.openstreetmap.org/search?q=""&amp;SUBSTITUTE($N35,"" "",""+"")&amp;""+Solo&amp;format=xml&amp;limit=1"",""//place/@lon"")"),"#N/A")</f>
        <v>#N/A</v>
      </c>
      <c r="R35" s="2" t="s">
        <v>176</v>
      </c>
      <c r="S35" s="92" t="str">
        <f>IFERROR(__xludf.DUMMYFUNCTION("IMPORTXML(""https://nominatim.openstreetmap.org/search?q=""&amp;SUBSTITUTE($R35,"" "",""+"")&amp;""+Solo&amp;format=xml&amp;limit=1"",""//place/@lat"")"),"Loading...")</f>
        <v>Loading...</v>
      </c>
      <c r="T35" s="92" t="str">
        <f>IFERROR(__xludf.DUMMYFUNCTION("IMPORTXML(""https://nominatim.openstreetmap.org/search?q=""&amp;SUBSTITUTE($R35,"" "",""+"")&amp;""+Solo&amp;format=xml&amp;limit=1"",""//place/@lon"")"),"Loading...")</f>
        <v>Loading...</v>
      </c>
      <c r="AD35" s="2"/>
      <c r="AE35" s="2"/>
      <c r="AF35" s="2"/>
      <c r="AG35" s="2"/>
      <c r="AH35" s="2" t="s">
        <v>196</v>
      </c>
      <c r="AI35" s="92" t="str">
        <f>IFERROR(__xludf.DUMMYFUNCTION("IMPORTXML(""https://nominatim.openstreetmap.org/search?q=""&amp;SUBSTITUTE($AH35,"" "",""+"")&amp;""+Solo&amp;format=xml&amp;limit=1"",""//place/@lat"")"),"Loading...")</f>
        <v>Loading...</v>
      </c>
      <c r="AJ35" s="92" t="str">
        <f>IFERROR(__xludf.DUMMYFUNCTION("IMPORTXML(""https://nominatim.openstreetmap.org/search?q=""&amp;SUBSTITUTE($AH35,"" "",""+"")&amp;""+Solo&amp;format=xml&amp;limit=1"",""//place/@lon"")"),"Loading...")</f>
        <v>Loading...</v>
      </c>
    </row>
    <row r="36">
      <c r="A36" s="2" t="s">
        <v>353</v>
      </c>
      <c r="B36" s="92" t="str">
        <f>IFERROR(__xludf.DUMMYFUNCTION("IMPORTXML(""https://nominatim.openstreetmap.org/search?q=""&amp;SUBSTITUTE($A36,"" "",""+"")&amp;""+Solo&amp;format=xml&amp;limit=1"",""//place/@lat"")"),"Loading...")</f>
        <v>Loading...</v>
      </c>
      <c r="C36" s="92" t="str">
        <f>IFERROR(__xludf.DUMMYFUNCTION("IMPORTXML(""https://nominatim.openstreetmap.org/search?q=""&amp;SUBSTITUTE($A36,"" "",""+"")&amp;""+Solo&amp;format=xml&amp;limit=1"",""//place/@lon"")"),"#N/A")</f>
        <v>#N/A</v>
      </c>
      <c r="E36" s="2"/>
      <c r="F36" s="2" t="s">
        <v>191</v>
      </c>
      <c r="G36" s="92">
        <f>IFERROR(__xludf.DUMMYFUNCTION("IMPORTXML(""https://nominatim.openstreetmap.org/search?q=""&amp;SUBSTITUTE($F36,"" "",""+"")&amp;""+Solo&amp;format=xml&amp;limit=1"",""//place/@lat"")"),-7.5615521)</f>
        <v>-7.5615521</v>
      </c>
      <c r="H36" s="92" t="str">
        <f>IFERROR(__xludf.DUMMYFUNCTION("IMPORTXML(""https://nominatim.openstreetmap.org/search?q=""&amp;SUBSTITUTE($F36,"" "",""+"")&amp;""+Solo&amp;format=xml&amp;limit=1"",""//place/@lon"")"),"Loading...")</f>
        <v>Loading...</v>
      </c>
      <c r="J36" s="2" t="s">
        <v>201</v>
      </c>
      <c r="K36" s="92" t="str">
        <f>IFERROR(__xludf.DUMMYFUNCTION("IMPORTXML(""https://nominatim.openstreetmap.org/search?q=""&amp;SUBSTITUTE($J36,"" "",""+"")&amp;""+Solo&amp;format=xml&amp;limit=1"",""//place/@lat"")"),"#N/A")</f>
        <v>#N/A</v>
      </c>
      <c r="L36" s="92" t="str">
        <f>IFERROR(__xludf.DUMMYFUNCTION("IMPORTXML(""https://nominatim.openstreetmap.org/search?q=""&amp;SUBSTITUTE($J36,"" "",""+"")&amp;""+Solo&amp;format=xml&amp;limit=1"",""//place/@lon"")"),"Loading...")</f>
        <v>Loading...</v>
      </c>
      <c r="N36" s="2" t="s">
        <v>649</v>
      </c>
      <c r="O36" s="92" t="str">
        <f>IFERROR(__xludf.DUMMYFUNCTION("IMPORTXML(""https://nominatim.openstreetmap.org/search?q=""&amp;SUBSTITUTE($N36,"" "",""+"")&amp;""+Solo&amp;format=xml&amp;limit=1"",""//place/@lat"")"),"Loading...")</f>
        <v>Loading...</v>
      </c>
      <c r="P36" s="92" t="str">
        <f>IFERROR(__xludf.DUMMYFUNCTION("IMPORTXML(""https://nominatim.openstreetmap.org/search?q=""&amp;SUBSTITUTE($N36,"" "",""+"")&amp;""+Solo&amp;format=xml&amp;limit=1"",""//place/@lon"")"),"#N/A")</f>
        <v>#N/A</v>
      </c>
      <c r="R36" s="2" t="s">
        <v>175</v>
      </c>
      <c r="S36" s="92" t="str">
        <f>IFERROR(__xludf.DUMMYFUNCTION("IMPORTXML(""https://nominatim.openstreetmap.org/search?q=""&amp;SUBSTITUTE($R36,"" "",""+"")&amp;""+Solo&amp;format=xml&amp;limit=1"",""//place/@lat"")"),"Loading...")</f>
        <v>Loading...</v>
      </c>
      <c r="T36" s="92" t="str">
        <f>IFERROR(__xludf.DUMMYFUNCTION("IMPORTXML(""https://nominatim.openstreetmap.org/search?q=""&amp;SUBSTITUTE($R36,"" "",""+"")&amp;""+Solo&amp;format=xml&amp;limit=1"",""//place/@lon"")"),"Loading...")</f>
        <v>Loading...</v>
      </c>
      <c r="AD36" s="2"/>
      <c r="AE36" s="2"/>
      <c r="AF36" s="2"/>
      <c r="AG36" s="2"/>
      <c r="AH36" s="2" t="s">
        <v>454</v>
      </c>
      <c r="AI36" s="92" t="str">
        <f>IFERROR(__xludf.DUMMYFUNCTION("IMPORTXML(""https://nominatim.openstreetmap.org/search?q=""&amp;SUBSTITUTE($AH36,"" "",""+"")&amp;""+Solo&amp;format=xml&amp;limit=1"",""//place/@lat"")"),"Loading...")</f>
        <v>Loading...</v>
      </c>
      <c r="AJ36" s="92" t="str">
        <f>IFERROR(__xludf.DUMMYFUNCTION("IMPORTXML(""https://nominatim.openstreetmap.org/search?q=""&amp;SUBSTITUTE($AH36,"" "",""+"")&amp;""+Solo&amp;format=xml&amp;limit=1"",""//place/@lon"")"),"Loading...")</f>
        <v>Loading...</v>
      </c>
    </row>
    <row r="37">
      <c r="A37" s="2" t="s">
        <v>181</v>
      </c>
      <c r="B37" s="92" t="str">
        <f>IFERROR(__xludf.DUMMYFUNCTION("IMPORTXML(""https://nominatim.openstreetmap.org/search?q=""&amp;SUBSTITUTE($A37,"" "",""+"")&amp;""+Solo&amp;format=xml&amp;limit=1"",""//place/@lat"")"),"Loading...")</f>
        <v>Loading...</v>
      </c>
      <c r="C37" s="92" t="str">
        <f>IFERROR(__xludf.DUMMYFUNCTION("IMPORTXML(""https://nominatim.openstreetmap.org/search?q=""&amp;SUBSTITUTE($A37,"" "",""+"")&amp;""+Solo&amp;format=xml&amp;limit=1"",""//place/@lon"")"),"#N/A")</f>
        <v>#N/A</v>
      </c>
      <c r="F37" s="2" t="s">
        <v>192</v>
      </c>
      <c r="G37" s="92" t="str">
        <f>IFERROR(__xludf.DUMMYFUNCTION("IMPORTXML(""https://nominatim.openstreetmap.org/search?q=""&amp;SUBSTITUTE($F37,"" "",""+"")&amp;""+Solo&amp;format=xml&amp;limit=1"",""//place/@lat"")"),"#N/A")</f>
        <v>#N/A</v>
      </c>
      <c r="H37" s="92" t="str">
        <f>IFERROR(__xludf.DUMMYFUNCTION("IMPORTXML(""https://nominatim.openstreetmap.org/search?q=""&amp;SUBSTITUTE($F37,"" "",""+"")&amp;""+Solo&amp;format=xml&amp;limit=1"",""//place/@lon"")"),"Loading...")</f>
        <v>Loading...</v>
      </c>
      <c r="J37" s="2" t="s">
        <v>202</v>
      </c>
      <c r="K37" s="92" t="str">
        <f>IFERROR(__xludf.DUMMYFUNCTION("IMPORTXML(""https://nominatim.openstreetmap.org/search?q=""&amp;SUBSTITUTE($J37,"" "",""+"")&amp;""+Solo&amp;format=xml&amp;limit=1"",""//place/@lat"")"),"#N/A")</f>
        <v>#N/A</v>
      </c>
      <c r="L37" s="92" t="str">
        <f>IFERROR(__xludf.DUMMYFUNCTION("IMPORTXML(""https://nominatim.openstreetmap.org/search?q=""&amp;SUBSTITUTE($J37,"" "",""+"")&amp;""+Solo&amp;format=xml&amp;limit=1"",""//place/@lon"")"),"Loading...")</f>
        <v>Loading...</v>
      </c>
      <c r="N37" s="2" t="s">
        <v>650</v>
      </c>
      <c r="O37" s="92" t="str">
        <f>IFERROR(__xludf.DUMMYFUNCTION("IMPORTXML(""https://nominatim.openstreetmap.org/search?q=""&amp;SUBSTITUTE($N37,"" "",""+"")&amp;""+Solo&amp;format=xml&amp;limit=1"",""//place/@lat"")"),"Loading...")</f>
        <v>Loading...</v>
      </c>
      <c r="P37" s="92" t="str">
        <f>IFERROR(__xludf.DUMMYFUNCTION("IMPORTXML(""https://nominatim.openstreetmap.org/search?q=""&amp;SUBSTITUTE($N37,"" "",""+"")&amp;""+Solo&amp;format=xml&amp;limit=1"",""//place/@lon"")"),"#N/A")</f>
        <v>#N/A</v>
      </c>
      <c r="R37" s="2" t="s">
        <v>203</v>
      </c>
      <c r="S37" s="92" t="str">
        <f>IFERROR(__xludf.DUMMYFUNCTION("IMPORTXML(""https://nominatim.openstreetmap.org/search?q=""&amp;SUBSTITUTE($R37,"" "",""+"")&amp;""+Solo&amp;format=xml&amp;limit=1"",""//place/@lat"")"),"Loading...")</f>
        <v>Loading...</v>
      </c>
      <c r="T37" s="92" t="str">
        <f>IFERROR(__xludf.DUMMYFUNCTION("IMPORTXML(""https://nominatim.openstreetmap.org/search?q=""&amp;SUBSTITUTE($R37,"" "",""+"")&amp;""+Solo&amp;format=xml&amp;limit=1"",""//place/@lon"")"),"Loading...")</f>
        <v>Loading...</v>
      </c>
      <c r="AD37" s="2"/>
      <c r="AE37" s="2"/>
      <c r="AF37" s="2"/>
      <c r="AG37" s="2"/>
      <c r="AH37" s="2" t="s">
        <v>651</v>
      </c>
      <c r="AI37" s="92" t="str">
        <f>IFERROR(__xludf.DUMMYFUNCTION("IMPORTXML(""https://nominatim.openstreetmap.org/search?q=""&amp;SUBSTITUTE($AH37,"" "",""+"")&amp;""+Solo&amp;format=xml&amp;limit=1"",""//place/@lat"")"),"Loading...")</f>
        <v>Loading...</v>
      </c>
      <c r="AJ37" s="92" t="str">
        <f>IFERROR(__xludf.DUMMYFUNCTION("IMPORTXML(""https://nominatim.openstreetmap.org/search?q=""&amp;SUBSTITUTE($AH37,"" "",""+"")&amp;""+Solo&amp;format=xml&amp;limit=1"",""//place/@lon"")"),"Loading...")</f>
        <v>Loading...</v>
      </c>
    </row>
    <row r="38">
      <c r="A38" s="2" t="s">
        <v>274</v>
      </c>
      <c r="B38" s="92" t="str">
        <f>IFERROR(__xludf.DUMMYFUNCTION("IMPORTXML(""https://nominatim.openstreetmap.org/search?q=""&amp;SUBSTITUTE($A38,"" "",""+"")&amp;""+Solo&amp;format=xml&amp;limit=1"",""//place/@lat"")"),"Loading...")</f>
        <v>Loading...</v>
      </c>
      <c r="C38" s="92" t="str">
        <f>IFERROR(__xludf.DUMMYFUNCTION("IMPORTXML(""https://nominatim.openstreetmap.org/search?q=""&amp;SUBSTITUTE($A38,"" "",""+"")&amp;""+Solo&amp;format=xml&amp;limit=1"",""//place/@lon"")"),"Loading...")</f>
        <v>Loading...</v>
      </c>
      <c r="F38" s="2" t="s">
        <v>181</v>
      </c>
      <c r="G38" s="92" t="str">
        <f>IFERROR(__xludf.DUMMYFUNCTION("IMPORTXML(""https://nominatim.openstreetmap.org/search?q=""&amp;SUBSTITUTE($F38,"" "",""+"")&amp;""+Solo&amp;format=xml&amp;limit=1"",""//place/@lat"")"),"Loading...")</f>
        <v>Loading...</v>
      </c>
      <c r="H38" s="92" t="str">
        <f>IFERROR(__xludf.DUMMYFUNCTION("IMPORTXML(""https://nominatim.openstreetmap.org/search?q=""&amp;SUBSTITUTE($F38,"" "",""+"")&amp;""+Solo&amp;format=xml&amp;limit=1"",""//place/@lon"")"),"#N/A")</f>
        <v>#N/A</v>
      </c>
      <c r="J38" s="2" t="s">
        <v>203</v>
      </c>
      <c r="K38" s="92" t="str">
        <f>IFERROR(__xludf.DUMMYFUNCTION("IMPORTXML(""https://nominatim.openstreetmap.org/search?q=""&amp;SUBSTITUTE($J38,"" "",""+"")&amp;""+Solo&amp;format=xml&amp;limit=1"",""//place/@lat"")"),"Loading...")</f>
        <v>Loading...</v>
      </c>
      <c r="L38" s="92" t="str">
        <f>IFERROR(__xludf.DUMMYFUNCTION("IMPORTXML(""https://nominatim.openstreetmap.org/search?q=""&amp;SUBSTITUTE($J38,"" "",""+"")&amp;""+Solo&amp;format=xml&amp;limit=1"",""//place/@lon"")"),"Loading...")</f>
        <v>Loading...</v>
      </c>
      <c r="N38" s="2" t="s">
        <v>652</v>
      </c>
      <c r="O38" s="92" t="str">
        <f>IFERROR(__xludf.DUMMYFUNCTION("IMPORTXML(""https://nominatim.openstreetmap.org/search?q=""&amp;SUBSTITUTE($N38,"" "",""+"")&amp;""+Solo&amp;format=xml&amp;limit=1"",""//place/@lat"")"),"Loading...")</f>
        <v>Loading...</v>
      </c>
      <c r="P38" s="92" t="str">
        <f>IFERROR(__xludf.DUMMYFUNCTION("IMPORTXML(""https://nominatim.openstreetmap.org/search?q=""&amp;SUBSTITUTE($N38,"" "",""+"")&amp;""+Solo&amp;format=xml&amp;limit=1"",""//place/@lon"")"),"#N/A")</f>
        <v>#N/A</v>
      </c>
      <c r="R38" s="2" t="s">
        <v>202</v>
      </c>
      <c r="S38" s="92" t="str">
        <f>IFERROR(__xludf.DUMMYFUNCTION("IMPORTXML(""https://nominatim.openstreetmap.org/search?q=""&amp;SUBSTITUTE($R38,"" "",""+"")&amp;""+Solo&amp;format=xml&amp;limit=1"",""//place/@lat"")"),"#N/A")</f>
        <v>#N/A</v>
      </c>
      <c r="T38" s="92" t="str">
        <f>IFERROR(__xludf.DUMMYFUNCTION("IMPORTXML(""https://nominatim.openstreetmap.org/search?q=""&amp;SUBSTITUTE($R38,"" "",""+"")&amp;""+Solo&amp;format=xml&amp;limit=1"",""//place/@lon"")"),"Loading...")</f>
        <v>Loading...</v>
      </c>
      <c r="AD38" s="2"/>
      <c r="AE38" s="2"/>
      <c r="AF38" s="2"/>
      <c r="AG38" s="2"/>
      <c r="AH38" s="2" t="s">
        <v>456</v>
      </c>
      <c r="AI38" s="92" t="str">
        <f>IFERROR(__xludf.DUMMYFUNCTION("IMPORTXML(""https://nominatim.openstreetmap.org/search?q=""&amp;SUBSTITUTE($AH38,"" "",""+"")&amp;""+Solo&amp;format=xml&amp;limit=1"",""//place/@lat"")"),"Loading...")</f>
        <v>Loading...</v>
      </c>
      <c r="AJ38" s="92" t="str">
        <f>IFERROR(__xludf.DUMMYFUNCTION("IMPORTXML(""https://nominatim.openstreetmap.org/search?q=""&amp;SUBSTITUTE($AH38,"" "",""+"")&amp;""+Solo&amp;format=xml&amp;limit=1"",""//place/@lon"")"),"Loading...")</f>
        <v>Loading...</v>
      </c>
    </row>
    <row r="39">
      <c r="A39" s="2" t="s">
        <v>489</v>
      </c>
      <c r="B39" s="92" t="str">
        <f>IFERROR(__xludf.DUMMYFUNCTION("IMPORTXML(""https://nominatim.openstreetmap.org/search?q=""&amp;SUBSTITUTE($A39,"" "",""+"")&amp;""+Solo&amp;format=xml&amp;limit=1"",""//place/@lat"")"),"#N/A")</f>
        <v>#N/A</v>
      </c>
      <c r="C39" s="92" t="str">
        <f>IFERROR(__xludf.DUMMYFUNCTION("IMPORTXML(""https://nominatim.openstreetmap.org/search?q=""&amp;SUBSTITUTE($A39,"" "",""+"")&amp;""+Solo&amp;format=xml&amp;limit=1"",""//place/@lon"")"),"Loading...")</f>
        <v>Loading...</v>
      </c>
      <c r="D39" s="2">
        <v>110.7987311</v>
      </c>
      <c r="F39" s="2" t="s">
        <v>274</v>
      </c>
      <c r="G39" s="92" t="str">
        <f>IFERROR(__xludf.DUMMYFUNCTION("IMPORTXML(""https://nominatim.openstreetmap.org/search?q=""&amp;SUBSTITUTE($F39,"" "",""+"")&amp;""+Solo&amp;format=xml&amp;limit=1"",""//place/@lat"")"),"Loading...")</f>
        <v>Loading...</v>
      </c>
      <c r="H39" s="92" t="str">
        <f>IFERROR(__xludf.DUMMYFUNCTION("IMPORTXML(""https://nominatim.openstreetmap.org/search?q=""&amp;SUBSTITUTE($F39,"" "",""+"")&amp;""+Solo&amp;format=xml&amp;limit=1"",""//place/@lon"")"),"Loading...")</f>
        <v>Loading...</v>
      </c>
      <c r="J39" s="2" t="s">
        <v>174</v>
      </c>
      <c r="K39" s="92" t="str">
        <f>IFERROR(__xludf.DUMMYFUNCTION("IMPORTXML(""https://nominatim.openstreetmap.org/search?q=""&amp;SUBSTITUTE($J39,"" "",""+"")&amp;""+Solo&amp;format=xml&amp;limit=1"",""//place/@lat"")"),"Loading...")</f>
        <v>Loading...</v>
      </c>
      <c r="L39" s="92" t="str">
        <f>IFERROR(__xludf.DUMMYFUNCTION("IMPORTXML(""https://nominatim.openstreetmap.org/search?q=""&amp;SUBSTITUTE($J39,"" "",""+"")&amp;""+Solo&amp;format=xml&amp;limit=1"",""//place/@lon"")"),"Loading...")</f>
        <v>Loading...</v>
      </c>
      <c r="N39" s="2" t="s">
        <v>165</v>
      </c>
      <c r="O39" s="92" t="str">
        <f>IFERROR(__xludf.DUMMYFUNCTION("IMPORTXML(""https://nominatim.openstreetmap.org/search?q=""&amp;SUBSTITUTE($N39,"" "",""+"")&amp;""+Solo&amp;format=xml&amp;limit=1"",""//place/@lat"")"),"Loading...")</f>
        <v>Loading...</v>
      </c>
      <c r="P39" s="92" t="str">
        <f>IFERROR(__xludf.DUMMYFUNCTION("IMPORTXML(""https://nominatim.openstreetmap.org/search?q=""&amp;SUBSTITUTE($N39,"" "",""+"")&amp;""+Solo&amp;format=xml&amp;limit=1"",""//place/@lon"")"),"Loading...")</f>
        <v>Loading...</v>
      </c>
      <c r="R39" s="2" t="s">
        <v>201</v>
      </c>
      <c r="S39" s="92" t="str">
        <f>IFERROR(__xludf.DUMMYFUNCTION("IMPORTXML(""https://nominatim.openstreetmap.org/search?q=""&amp;SUBSTITUTE($R39,"" "",""+"")&amp;""+Solo&amp;format=xml&amp;limit=1"",""//place/@lat"")"),"#N/A")</f>
        <v>#N/A</v>
      </c>
      <c r="T39" s="92" t="str">
        <f>IFERROR(__xludf.DUMMYFUNCTION("IMPORTXML(""https://nominatim.openstreetmap.org/search?q=""&amp;SUBSTITUTE($R39,"" "",""+"")&amp;""+Solo&amp;format=xml&amp;limit=1"",""//place/@lon"")"),"Loading...")</f>
        <v>Loading...</v>
      </c>
      <c r="AD39" s="2"/>
      <c r="AE39" s="2"/>
      <c r="AF39" s="2"/>
      <c r="AG39" s="2"/>
      <c r="AH39" s="2" t="s">
        <v>457</v>
      </c>
      <c r="AI39" s="92" t="str">
        <f>IFERROR(__xludf.DUMMYFUNCTION("IMPORTXML(""https://nominatim.openstreetmap.org/search?q=""&amp;SUBSTITUTE($AH39,"" "",""+"")&amp;""+Solo&amp;format=xml&amp;limit=1"",""//place/@lat"")"),"Loading...")</f>
        <v>Loading...</v>
      </c>
      <c r="AJ39" s="92" t="str">
        <f>IFERROR(__xludf.DUMMYFUNCTION("IMPORTXML(""https://nominatim.openstreetmap.org/search?q=""&amp;SUBSTITUTE($AH39,"" "",""+"")&amp;""+Solo&amp;format=xml&amp;limit=1"",""//place/@lon"")"),"#N/A")</f>
        <v>#N/A</v>
      </c>
    </row>
    <row r="40">
      <c r="A40" s="2" t="s">
        <v>491</v>
      </c>
      <c r="B40" s="2">
        <v>-7.5605099</v>
      </c>
      <c r="C40" s="2">
        <v>110.7896978</v>
      </c>
      <c r="F40" s="2" t="s">
        <v>275</v>
      </c>
      <c r="G40" s="92" t="str">
        <f>IFERROR(__xludf.DUMMYFUNCTION("IMPORTXML(""https://nominatim.openstreetmap.org/search?q=""&amp;SUBSTITUTE($F40,"" "",""+"")&amp;""+Solo&amp;format=xml&amp;limit=1"",""//place/@lat"")"),"#N/A")</f>
        <v>#N/A</v>
      </c>
      <c r="H40" s="92" t="str">
        <f>IFERROR(__xludf.DUMMYFUNCTION("IMPORTXML(""https://nominatim.openstreetmap.org/search?q=""&amp;SUBSTITUTE($F40,"" "",""+"")&amp;""+Solo&amp;format=xml&amp;limit=1"",""//place/@lon"")"),"Loading...")</f>
        <v>Loading...</v>
      </c>
      <c r="J40" s="2" t="s">
        <v>173</v>
      </c>
      <c r="K40" s="92" t="str">
        <f>IFERROR(__xludf.DUMMYFUNCTION("IMPORTXML(""https://nominatim.openstreetmap.org/search?q=""&amp;SUBSTITUTE($J40,"" "",""+"")&amp;""+Solo&amp;format=xml&amp;limit=1"",""//place/@lat"")"),"#N/A")</f>
        <v>#N/A</v>
      </c>
      <c r="L40" s="92" t="str">
        <f>IFERROR(__xludf.DUMMYFUNCTION("IMPORTXML(""https://nominatim.openstreetmap.org/search?q=""&amp;SUBSTITUTE($J40,"" "",""+"")&amp;""+Solo&amp;format=xml&amp;limit=1"",""//place/@lon"")"),"Loading...")</f>
        <v>Loading...</v>
      </c>
      <c r="N40" s="2" t="s">
        <v>503</v>
      </c>
      <c r="O40" s="92" t="str">
        <f>IFERROR(__xludf.DUMMYFUNCTION("IMPORTXML(""https://nominatim.openstreetmap.org/search?q=""&amp;SUBSTITUTE($N40,"" "",""+"")&amp;""+Solo&amp;format=xml&amp;limit=1"",""//place/@lat"")"),"Loading...")</f>
        <v>Loading...</v>
      </c>
      <c r="P40" s="92" t="str">
        <f>IFERROR(__xludf.DUMMYFUNCTION("IMPORTXML(""https://nominatim.openstreetmap.org/search?q=""&amp;SUBSTITUTE($N40,"" "",""+"")&amp;""+Solo&amp;format=xml&amp;limit=1"",""//place/@lon"")"),"Loading...")</f>
        <v>Loading...</v>
      </c>
      <c r="R40" s="2" t="s">
        <v>514</v>
      </c>
      <c r="S40" s="92" t="str">
        <f>IFERROR(__xludf.DUMMYFUNCTION("IMPORTXML(""https://nominatim.openstreetmap.org/search?q=""&amp;SUBSTITUTE($R40,"" "",""+"")&amp;""+Solo&amp;format=xml&amp;limit=1"",""//place/@lat"")"),"#N/A")</f>
        <v>#N/A</v>
      </c>
      <c r="T40" s="92" t="str">
        <f>IFERROR(__xludf.DUMMYFUNCTION("IMPORTXML(""https://nominatim.openstreetmap.org/search?q=""&amp;SUBSTITUTE($R40,"" "",""+"")&amp;""+Solo&amp;format=xml&amp;limit=1"",""//place/@lon"")"),"Loading...")</f>
        <v>Loading...</v>
      </c>
      <c r="AD40" s="2"/>
      <c r="AE40" s="2"/>
      <c r="AF40" s="2"/>
      <c r="AG40" s="2"/>
      <c r="AH40" s="2" t="s">
        <v>458</v>
      </c>
      <c r="AI40" s="92" t="str">
        <f>IFERROR(__xludf.DUMMYFUNCTION("IMPORTXML(""https://nominatim.openstreetmap.org/search?q=""&amp;SUBSTITUTE($AH40,"" "",""+"")&amp;""+Solo&amp;format=xml&amp;limit=1"",""//place/@lat"")"),"Loading...")</f>
        <v>Loading...</v>
      </c>
      <c r="AJ40" s="92" t="str">
        <f>IFERROR(__xludf.DUMMYFUNCTION("IMPORTXML(""https://nominatim.openstreetmap.org/search?q=""&amp;SUBSTITUTE($AH40,"" "",""+"")&amp;""+Solo&amp;format=xml&amp;limit=1"",""//place/@lon"")"),"#N/A")</f>
        <v>#N/A</v>
      </c>
    </row>
    <row r="41">
      <c r="A41" s="2" t="s">
        <v>239</v>
      </c>
      <c r="B41" s="92" t="str">
        <f>IFERROR(__xludf.DUMMYFUNCTION("IMPORTXML(""https://nominatim.openstreetmap.org/search?q=""&amp;SUBSTITUTE($A41,"" "",""+"")&amp;""+Solo&amp;format=xml&amp;limit=1"",""//place/@lat"")"),"Loading...")</f>
        <v>Loading...</v>
      </c>
      <c r="C41" s="92" t="str">
        <f>IFERROR(__xludf.DUMMYFUNCTION("IMPORTXML(""https://nominatim.openstreetmap.org/search?q=""&amp;SUBSTITUTE($A41,"" "",""+"")&amp;""+Solo&amp;format=xml&amp;limit=1"",""//place/@lon"")"),"#N/A")</f>
        <v>#N/A</v>
      </c>
      <c r="F41" s="2" t="s">
        <v>193</v>
      </c>
      <c r="G41" s="92" t="str">
        <f>IFERROR(__xludf.DUMMYFUNCTION("IMPORTXML(""https://nominatim.openstreetmap.org/search?q=""&amp;SUBSTITUTE($F41,"" "",""+"")&amp;""+Solo&amp;format=xml&amp;limit=1"",""//place/@lat"")"),"#N/A")</f>
        <v>#N/A</v>
      </c>
      <c r="H41" s="92" t="str">
        <f>IFERROR(__xludf.DUMMYFUNCTION("IMPORTXML(""https://nominatim.openstreetmap.org/search?q=""&amp;SUBSTITUTE($F41,"" "",""+"")&amp;""+Solo&amp;format=xml&amp;limit=1"",""//place/@lon"")"),"Loading...")</f>
        <v>Loading...</v>
      </c>
      <c r="J41" s="2" t="s">
        <v>573</v>
      </c>
      <c r="K41" s="92" t="str">
        <f>IFERROR(__xludf.DUMMYFUNCTION("IMPORTXML(""https://nominatim.openstreetmap.org/search?q=""&amp;SUBSTITUTE($J41,"" "",""+"")&amp;""+Solo&amp;format=xml&amp;limit=1"",""//place/@lat"")"),"Loading...")</f>
        <v>Loading...</v>
      </c>
      <c r="L41" s="92" t="str">
        <f>IFERROR(__xludf.DUMMYFUNCTION("IMPORTXML(""https://nominatim.openstreetmap.org/search?q=""&amp;SUBSTITUTE($J41,"" "",""+"")&amp;""+Solo&amp;format=xml&amp;limit=1"",""//place/@lon"")"),"Loading...")</f>
        <v>Loading...</v>
      </c>
      <c r="N41" s="2" t="s">
        <v>502</v>
      </c>
      <c r="O41" s="92" t="str">
        <f>IFERROR(__xludf.DUMMYFUNCTION("IMPORTXML(""https://nominatim.openstreetmap.org/search?q=""&amp;SUBSTITUTE($N41,"" "",""+"")&amp;""+Solo&amp;format=xml&amp;limit=1"",""//place/@lat"")"),"Loading...")</f>
        <v>Loading...</v>
      </c>
      <c r="P41" s="92" t="str">
        <f>IFERROR(__xludf.DUMMYFUNCTION("IMPORTXML(""https://nominatim.openstreetmap.org/search?q=""&amp;SUBSTITUTE($N41,"" "",""+"")&amp;""+Solo&amp;format=xml&amp;limit=1"",""//place/@lon"")"),"#N/A")</f>
        <v>#N/A</v>
      </c>
      <c r="R41" s="2" t="s">
        <v>213</v>
      </c>
      <c r="S41" s="92" t="str">
        <f>IFERROR(__xludf.DUMMYFUNCTION("IMPORTXML(""https://nominatim.openstreetmap.org/search?q=""&amp;SUBSTITUTE($R41,"" "",""+"")&amp;""+Solo&amp;format=xml&amp;limit=1"",""//place/@lat"")"),"#N/A")</f>
        <v>#N/A</v>
      </c>
      <c r="T41" s="92" t="str">
        <f>IFERROR(__xludf.DUMMYFUNCTION("IMPORTXML(""https://nominatim.openstreetmap.org/search?q=""&amp;SUBSTITUTE($R41,"" "",""+"")&amp;""+Solo&amp;format=xml&amp;limit=1"",""//place/@lon"")"),"Loading...")</f>
        <v>Loading...</v>
      </c>
      <c r="AD41" s="2"/>
      <c r="AE41" s="2"/>
      <c r="AF41" s="2"/>
      <c r="AG41" s="2"/>
      <c r="AH41" s="2" t="s">
        <v>459</v>
      </c>
      <c r="AI41" s="92" t="str">
        <f>IFERROR(__xludf.DUMMYFUNCTION("IMPORTXML(""https://nominatim.openstreetmap.org/search?q=""&amp;SUBSTITUTE($AH41,"" "",""+"")&amp;""+Solo&amp;format=xml&amp;limit=1"",""//place/@lat"")"),"#N/A")</f>
        <v>#N/A</v>
      </c>
      <c r="AJ41" s="92" t="str">
        <f>IFERROR(__xludf.DUMMYFUNCTION("IMPORTXML(""https://nominatim.openstreetmap.org/search?q=""&amp;SUBSTITUTE($AH41,"" "",""+"")&amp;""+Solo&amp;format=xml&amp;limit=1"",""//place/@lon"")"),"Loading...")</f>
        <v>Loading...</v>
      </c>
    </row>
    <row r="42">
      <c r="A42" s="2" t="s">
        <v>240</v>
      </c>
      <c r="B42" s="92" t="str">
        <f>IFERROR(__xludf.DUMMYFUNCTION("IMPORTXML(""https://nominatim.openstreetmap.org/search?q=""&amp;SUBSTITUTE($A42,"" "",""+"")&amp;""+Solo&amp;format=xml&amp;limit=1"",""//place/@lat"")"),"Loading...")</f>
        <v>Loading...</v>
      </c>
      <c r="C42" s="92" t="str">
        <f>IFERROR(__xludf.DUMMYFUNCTION("IMPORTXML(""https://nominatim.openstreetmap.org/search?q=""&amp;SUBSTITUTE($A42,"" "",""+"")&amp;""+Solo&amp;format=xml&amp;limit=1"",""//place/@lon"")"),"#N/A")</f>
        <v>#N/A</v>
      </c>
      <c r="F42" s="2" t="s">
        <v>194</v>
      </c>
      <c r="G42" s="92" t="str">
        <f>IFERROR(__xludf.DUMMYFUNCTION("IMPORTXML(""https://nominatim.openstreetmap.org/search?q=""&amp;SUBSTITUTE($F42,"" "",""+"")&amp;""+Solo&amp;format=xml&amp;limit=1"",""//place/@lat"")"),"Loading...")</f>
        <v>Loading...</v>
      </c>
      <c r="H42" s="92" t="str">
        <f>IFERROR(__xludf.DUMMYFUNCTION("IMPORTXML(""https://nominatim.openstreetmap.org/search?q=""&amp;SUBSTITUTE($F42,"" "",""+"")&amp;""+Solo&amp;format=xml&amp;limit=1"",""//place/@lon"")"),"Loading...")</f>
        <v>Loading...</v>
      </c>
      <c r="J42" s="2" t="s">
        <v>171</v>
      </c>
      <c r="K42" s="92" t="str">
        <f>IFERROR(__xludf.DUMMYFUNCTION("IMPORTXML(""https://nominatim.openstreetmap.org/search?q=""&amp;SUBSTITUTE($J42,"" "",""+"")&amp;""+Solo&amp;format=xml&amp;limit=1"",""//place/@lat"")"),"Loading...")</f>
        <v>Loading...</v>
      </c>
      <c r="L42" s="92" t="str">
        <f>IFERROR(__xludf.DUMMYFUNCTION("IMPORTXML(""https://nominatim.openstreetmap.org/search?q=""&amp;SUBSTITUTE($J42,"" "",""+"")&amp;""+Solo&amp;format=xml&amp;limit=1"",""//place/@lon"")"),"#N/A")</f>
        <v>#N/A</v>
      </c>
      <c r="N42" s="2" t="s">
        <v>66</v>
      </c>
      <c r="O42" s="92" t="str">
        <f>IFERROR(__xludf.DUMMYFUNCTION("IMPORTXML(""https://nominatim.openstreetmap.org/search?q=""&amp;SUBSTITUTE($N42,"" "",""+"")&amp;""+Solo&amp;format=xml&amp;limit=1"",""//place/@lat"")"),"Loading...")</f>
        <v>Loading...</v>
      </c>
      <c r="P42" s="92" t="str">
        <f>IFERROR(__xludf.DUMMYFUNCTION("IMPORTXML(""https://nominatim.openstreetmap.org/search?q=""&amp;SUBSTITUTE($N42,"" "",""+"")&amp;""+Solo&amp;format=xml&amp;limit=1"",""//place/@lon"")"),"Loading...")</f>
        <v>Loading...</v>
      </c>
      <c r="R42" s="2" t="s">
        <v>214</v>
      </c>
      <c r="S42" s="92" t="str">
        <f>IFERROR(__xludf.DUMMYFUNCTION("IMPORTXML(""https://nominatim.openstreetmap.org/search?q=""&amp;SUBSTITUTE($R42,"" "",""+"")&amp;""+Solo&amp;format=xml&amp;limit=1"",""//place/@lat"")"),"Loading...")</f>
        <v>Loading...</v>
      </c>
      <c r="T42" s="92" t="str">
        <f>IFERROR(__xludf.DUMMYFUNCTION("IMPORTXML(""https://nominatim.openstreetmap.org/search?q=""&amp;SUBSTITUTE($R42,"" "",""+"")&amp;""+Solo&amp;format=xml&amp;limit=1"",""//place/@lon"")"),"Loading...")</f>
        <v>Loading...</v>
      </c>
      <c r="AD42" s="2"/>
      <c r="AE42" s="2"/>
      <c r="AF42" s="2"/>
      <c r="AG42" s="2"/>
      <c r="AH42" s="2" t="s">
        <v>460</v>
      </c>
      <c r="AI42" s="92" t="str">
        <f>IFERROR(__xludf.DUMMYFUNCTION("IMPORTXML(""https://nominatim.openstreetmap.org/search?q=""&amp;SUBSTITUTE($AH42,"" "",""+"")&amp;""+Solo&amp;format=xml&amp;limit=1"",""//place/@lat"")"),"Loading...")</f>
        <v>Loading...</v>
      </c>
      <c r="AJ42" s="92" t="str">
        <f>IFERROR(__xludf.DUMMYFUNCTION("IMPORTXML(""https://nominatim.openstreetmap.org/search?q=""&amp;SUBSTITUTE($AH42,"" "",""+"")&amp;""+Solo&amp;format=xml&amp;limit=1"",""//place/@lon"")"),"Loading...")</f>
        <v>Loading...</v>
      </c>
    </row>
    <row r="43">
      <c r="A43" s="2" t="s">
        <v>241</v>
      </c>
      <c r="B43" s="2">
        <v>-7.557598</v>
      </c>
      <c r="C43" s="2">
        <v>110.778868</v>
      </c>
      <c r="F43" s="2" t="s">
        <v>195</v>
      </c>
      <c r="G43" s="92" t="str">
        <f>IFERROR(__xludf.DUMMYFUNCTION("IMPORTXML(""https://nominatim.openstreetmap.org/search?q=""&amp;SUBSTITUTE($F43,"" "",""+"")&amp;""+Solo&amp;format=xml&amp;limit=1"",""//place/@lat"")"),"Loading...")</f>
        <v>Loading...</v>
      </c>
      <c r="H43" s="92" t="str">
        <f>IFERROR(__xludf.DUMMYFUNCTION("IMPORTXML(""https://nominatim.openstreetmap.org/search?q=""&amp;SUBSTITUTE($F43,"" "",""+"")&amp;""+Solo&amp;format=xml&amp;limit=1"",""//place/@lon"")"),"#N/A")</f>
        <v>#N/A</v>
      </c>
      <c r="J43" s="2" t="s">
        <v>170</v>
      </c>
      <c r="K43" s="92" t="str">
        <f>IFERROR(__xludf.DUMMYFUNCTION("IMPORTXML(""https://nominatim.openstreetmap.org/search?q=""&amp;SUBSTITUTE($J43,"" "",""+"")&amp;""+Solo&amp;format=xml&amp;limit=1"",""//place/@lat"")"),"#N/A")</f>
        <v>#N/A</v>
      </c>
      <c r="L43" s="92" t="str">
        <f>IFERROR(__xludf.DUMMYFUNCTION("IMPORTXML(""https://nominatim.openstreetmap.org/search?q=""&amp;SUBSTITUTE($J43,"" "",""+"")&amp;""+Solo&amp;format=xml&amp;limit=1"",""//place/@lon"")"),"Loading...")</f>
        <v>Loading...</v>
      </c>
      <c r="N43" s="2" t="s">
        <v>510</v>
      </c>
      <c r="O43" s="92" t="str">
        <f>IFERROR(__xludf.DUMMYFUNCTION("IMPORTXML(""https://nominatim.openstreetmap.org/search?q=""&amp;SUBSTITUTE($N43,"" "",""+"")&amp;""+Solo&amp;format=xml&amp;limit=1"",""//place/@lat"")"),"#N/A")</f>
        <v>#N/A</v>
      </c>
      <c r="P43" s="92" t="str">
        <f>IFERROR(__xludf.DUMMYFUNCTION("IMPORTXML(""https://nominatim.openstreetmap.org/search?q=""&amp;SUBSTITUTE($N43,"" "",""+"")&amp;""+Solo&amp;format=xml&amp;limit=1"",""//place/@lon"")"),"Loading...")</f>
        <v>Loading...</v>
      </c>
      <c r="R43" s="2" t="s">
        <v>215</v>
      </c>
      <c r="S43" s="92" t="str">
        <f>IFERROR(__xludf.DUMMYFUNCTION("IMPORTXML(""https://nominatim.openstreetmap.org/search?q=""&amp;SUBSTITUTE($R43,"" "",""+"")&amp;""+Solo&amp;format=xml&amp;limit=1"",""//place/@lat"")"),"Loading...")</f>
        <v>Loading...</v>
      </c>
      <c r="T43" s="92" t="str">
        <f>IFERROR(__xludf.DUMMYFUNCTION("IMPORTXML(""https://nominatim.openstreetmap.org/search?q=""&amp;SUBSTITUTE($R43,"" "",""+"")&amp;""+Solo&amp;format=xml&amp;limit=1"",""//place/@lon"")"),"Loading...")</f>
        <v>Loading...</v>
      </c>
      <c r="AD43" s="2"/>
      <c r="AE43" s="2"/>
      <c r="AF43" s="2"/>
      <c r="AG43" s="2"/>
      <c r="AH43" s="2" t="s">
        <v>461</v>
      </c>
      <c r="AI43" s="92" t="str">
        <f>IFERROR(__xludf.DUMMYFUNCTION("IMPORTXML(""https://nominatim.openstreetmap.org/search?q=""&amp;SUBSTITUTE($AH43,"" "",""+"")&amp;""+Solo&amp;format=xml&amp;limit=1"",""//place/@lat"")"),"Loading...")</f>
        <v>Loading...</v>
      </c>
      <c r="AJ43" s="92" t="str">
        <f>IFERROR(__xludf.DUMMYFUNCTION("IMPORTXML(""https://nominatim.openstreetmap.org/search?q=""&amp;SUBSTITUTE($AH43,"" "",""+"")&amp;""+Solo&amp;format=xml&amp;limit=1"",""//place/@lon"")"),"#N/A")</f>
        <v>#N/A</v>
      </c>
    </row>
    <row r="44">
      <c r="A44" s="2" t="s">
        <v>242</v>
      </c>
      <c r="B44" s="92" t="str">
        <f>IFERROR(__xludf.DUMMYFUNCTION("IMPORTXML(""https://nominatim.openstreetmap.org/search?q=""&amp;SUBSTITUTE($A44,"" "",""+"")&amp;""+Solo&amp;format=xml&amp;limit=1"",""//place/@lat"")"),"Loading...")</f>
        <v>Loading...</v>
      </c>
      <c r="C44" s="92" t="str">
        <f>IFERROR(__xludf.DUMMYFUNCTION("IMPORTXML(""https://nominatim.openstreetmap.org/search?q=""&amp;SUBSTITUTE($A44,"" "",""+"")&amp;""+Solo&amp;format=xml&amp;limit=1"",""//place/@lon"")"),"Loading...")</f>
        <v>Loading...</v>
      </c>
      <c r="F44" s="2" t="s">
        <v>653</v>
      </c>
      <c r="G44" s="92" t="str">
        <f>IFERROR(__xludf.DUMMYFUNCTION("IMPORTXML(""https://nominatim.openstreetmap.org/search?q=""&amp;SUBSTITUTE($F44,"" "",""+"")&amp;""+Solo&amp;format=xml&amp;limit=1"",""//place/@lat"")"),"Loading...")</f>
        <v>Loading...</v>
      </c>
      <c r="H44" s="92" t="str">
        <f>IFERROR(__xludf.DUMMYFUNCTION("IMPORTXML(""https://nominatim.openstreetmap.org/search?q=""&amp;SUBSTITUTE($F44,"" "",""+"")&amp;""+Solo&amp;format=xml&amp;limit=1"",""//place/@lon"")"),"Loading...")</f>
        <v>Loading...</v>
      </c>
      <c r="J44" s="2" t="s">
        <v>169</v>
      </c>
      <c r="K44" s="92" t="str">
        <f>IFERROR(__xludf.DUMMYFUNCTION("IMPORTXML(""https://nominatim.openstreetmap.org/search?q=""&amp;SUBSTITUTE($J44,"" "",""+"")&amp;""+Solo&amp;format=xml&amp;limit=1"",""//place/@lat"")"),"Loading...")</f>
        <v>Loading...</v>
      </c>
      <c r="L44" s="92" t="str">
        <f>IFERROR(__xludf.DUMMYFUNCTION("IMPORTXML(""https://nominatim.openstreetmap.org/search?q=""&amp;SUBSTITUTE($J44,"" "",""+"")&amp;""+Solo&amp;format=xml&amp;limit=1"",""//place/@lon"")"),"Loading...")</f>
        <v>Loading...</v>
      </c>
      <c r="N44" s="2" t="s">
        <v>654</v>
      </c>
      <c r="O44" s="92" t="str">
        <f>IFERROR(__xludf.DUMMYFUNCTION("IMPORTXML(""https://nominatim.openstreetmap.org/search?q=""&amp;SUBSTITUTE($N44,"" "",""+"")&amp;""+Solo&amp;format=xml&amp;limit=1"",""//place/@lat"")"),"Loading...")</f>
        <v>Loading...</v>
      </c>
      <c r="P44" s="92" t="str">
        <f>IFERROR(__xludf.DUMMYFUNCTION("IMPORTXML(""https://nominatim.openstreetmap.org/search?q=""&amp;SUBSTITUTE($N44,"" "",""+"")&amp;""+Solo&amp;format=xml&amp;limit=1"",""//place/@lon"")"),"Loading...")</f>
        <v>Loading...</v>
      </c>
      <c r="R44" s="2" t="s">
        <v>216</v>
      </c>
      <c r="S44" s="92" t="str">
        <f>IFERROR(__xludf.DUMMYFUNCTION("IMPORTXML(""https://nominatim.openstreetmap.org/search?q=""&amp;SUBSTITUTE($R44,"" "",""+"")&amp;""+Solo&amp;format=xml&amp;limit=1"",""//place/@lat"")"),"Loading...")</f>
        <v>Loading...</v>
      </c>
      <c r="T44" s="92" t="str">
        <f>IFERROR(__xludf.DUMMYFUNCTION("IMPORTXML(""https://nominatim.openstreetmap.org/search?q=""&amp;SUBSTITUTE($R44,"" "",""+"")&amp;""+Solo&amp;format=xml&amp;limit=1"",""//place/@lon"")"),"Loading...")</f>
        <v>Loading...</v>
      </c>
      <c r="AD44" s="2"/>
      <c r="AE44" s="2"/>
      <c r="AF44" s="2"/>
      <c r="AG44" s="2"/>
      <c r="AH44" s="2" t="s">
        <v>462</v>
      </c>
      <c r="AI44" s="2">
        <v>-7.58321</v>
      </c>
      <c r="AJ44" s="2">
        <v>110.78354</v>
      </c>
    </row>
    <row r="45">
      <c r="A45" s="2" t="s">
        <v>243</v>
      </c>
      <c r="B45" s="92" t="str">
        <f>IFERROR(__xludf.DUMMYFUNCTION("IMPORTXML(""https://nominatim.openstreetmap.org/search?q=""&amp;SUBSTITUTE($A45,"" "",""+"")&amp;""+Solo&amp;format=xml&amp;limit=1"",""//place/@lat"")"),"#N/A")</f>
        <v>#N/A</v>
      </c>
      <c r="C45" s="92" t="str">
        <f>IFERROR(__xludf.DUMMYFUNCTION("IMPORTXML(""https://nominatim.openstreetmap.org/search?q=""&amp;SUBSTITUTE($A45,"" "",""+"")&amp;""+Solo&amp;format=xml&amp;limit=1"",""//place/@lon"")"),"Loading...")</f>
        <v>Loading...</v>
      </c>
      <c r="F45" s="2" t="s">
        <v>277</v>
      </c>
      <c r="G45" s="92" t="str">
        <f>IFERROR(__xludf.DUMMYFUNCTION("IMPORTXML(""https://nominatim.openstreetmap.org/search?q=""&amp;SUBSTITUTE($F45,"" "",""+"")&amp;""+Solo&amp;format=xml&amp;limit=1"",""//place/@lat"")"),"Loading...")</f>
        <v>Loading...</v>
      </c>
      <c r="H45" s="92" t="str">
        <f>IFERROR(__xludf.DUMMYFUNCTION("IMPORTXML(""https://nominatim.openstreetmap.org/search?q=""&amp;SUBSTITUTE($F45,"" "",""+"")&amp;""+Solo&amp;format=xml&amp;limit=1"",""//place/@lon"")"),"#N/A")</f>
        <v>#N/A</v>
      </c>
      <c r="J45" s="2" t="s">
        <v>168</v>
      </c>
      <c r="K45" s="92" t="str">
        <f>IFERROR(__xludf.DUMMYFUNCTION("IMPORTXML(""https://nominatim.openstreetmap.org/search?q=""&amp;SUBSTITUTE($J45,"" "",""+"")&amp;""+Solo&amp;format=xml&amp;limit=1"",""//place/@lat"")"),"#N/A")</f>
        <v>#N/A</v>
      </c>
      <c r="L45" s="92">
        <f>IFERROR(__xludf.DUMMYFUNCTION("IMPORTXML(""https://nominatim.openstreetmap.org/search?q=""&amp;SUBSTITUTE($J45,"" "",""+"")&amp;""+Solo&amp;format=xml&amp;limit=1"",""//place/@lon"")"),110.8344694)</f>
        <v>110.8344694</v>
      </c>
      <c r="N45" s="2" t="s">
        <v>332</v>
      </c>
      <c r="O45" s="92" t="str">
        <f>IFERROR(__xludf.DUMMYFUNCTION("IMPORTXML(""https://nominatim.openstreetmap.org/search?q=""&amp;SUBSTITUTE($N45,"" "",""+"")&amp;""+Solo&amp;format=xml&amp;limit=1"",""//place/@lat"")"),"#N/A")</f>
        <v>#N/A</v>
      </c>
      <c r="P45" s="92" t="str">
        <f>IFERROR(__xludf.DUMMYFUNCTION("IMPORTXML(""https://nominatim.openstreetmap.org/search?q=""&amp;SUBSTITUTE($N45,"" "",""+"")&amp;""+Solo&amp;format=xml&amp;limit=1"",""//place/@lon"")"),"Loading...")</f>
        <v>Loading...</v>
      </c>
      <c r="R45" s="2" t="s">
        <v>355</v>
      </c>
      <c r="S45" s="92" t="str">
        <f>IFERROR(__xludf.DUMMYFUNCTION("IMPORTXML(""https://nominatim.openstreetmap.org/search?q=""&amp;SUBSTITUTE($R45,"" "",""+"")&amp;""+Solo&amp;format=xml&amp;limit=1"",""//place/@lat"")"),"#N/A")</f>
        <v>#N/A</v>
      </c>
      <c r="T45" s="92" t="str">
        <f>IFERROR(__xludf.DUMMYFUNCTION("IMPORTXML(""https://nominatim.openstreetmap.org/search?q=""&amp;SUBSTITUTE($R45,"" "",""+"")&amp;""+Solo&amp;format=xml&amp;limit=1"",""//place/@lon"")"),"Loading...")</f>
        <v>Loading...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>
      <c r="A46" s="2" t="s">
        <v>244</v>
      </c>
      <c r="B46" s="92" t="str">
        <f>IFERROR(__xludf.DUMMYFUNCTION("IMPORTXML(""https://nominatim.openstreetmap.org/search?q=""&amp;SUBSTITUTE($A46,"" "",""+"")&amp;""+Solo&amp;format=xml&amp;limit=1"",""//place/@lat"")"),"#N/A")</f>
        <v>#N/A</v>
      </c>
      <c r="C46" s="92" t="str">
        <f>IFERROR(__xludf.DUMMYFUNCTION("IMPORTXML(""https://nominatim.openstreetmap.org/search?q=""&amp;SUBSTITUTE($A46,"" "",""+"")&amp;""+Solo&amp;format=xml&amp;limit=1"",""//place/@lon"")"),"Loading...")</f>
        <v>Loading...</v>
      </c>
      <c r="F46" s="2" t="s">
        <v>278</v>
      </c>
      <c r="G46" s="92" t="str">
        <f>IFERROR(__xludf.DUMMYFUNCTION("IMPORTXML(""https://nominatim.openstreetmap.org/search?q=""&amp;SUBSTITUTE($F46,"" "",""+"")&amp;""+Solo&amp;format=xml&amp;limit=1"",""//place/@lat"")"),"#N/A")</f>
        <v>#N/A</v>
      </c>
      <c r="H46" s="92" t="str">
        <f>IFERROR(__xludf.DUMMYFUNCTION("IMPORTXML(""https://nominatim.openstreetmap.org/search?q=""&amp;SUBSTITUTE($F46,"" "",""+"")&amp;""+Solo&amp;format=xml&amp;limit=1"",""//place/@lon"")"),"Loading...")</f>
        <v>Loading...</v>
      </c>
      <c r="J46" s="2" t="s">
        <v>167</v>
      </c>
      <c r="K46" s="92" t="str">
        <f>IFERROR(__xludf.DUMMYFUNCTION("IMPORTXML(""https://nominatim.openstreetmap.org/search?q=""&amp;SUBSTITUTE($J46,"" "",""+"")&amp;""+Solo&amp;format=xml&amp;limit=1"",""//place/@lat"")"),"Loading...")</f>
        <v>Loading...</v>
      </c>
      <c r="L46" s="92" t="str">
        <f>IFERROR(__xludf.DUMMYFUNCTION("IMPORTXML(""https://nominatim.openstreetmap.org/search?q=""&amp;SUBSTITUTE($J46,"" "",""+"")&amp;""+Solo&amp;format=xml&amp;limit=1"",""//place/@lon"")"),"Loading...")</f>
        <v>Loading...</v>
      </c>
      <c r="N46" s="2" t="s">
        <v>655</v>
      </c>
      <c r="O46" s="92" t="str">
        <f>IFERROR(__xludf.DUMMYFUNCTION("IMPORTXML(""https://nominatim.openstreetmap.org/search?q=""&amp;SUBSTITUTE($N46,"" "",""+"")&amp;""+Solo&amp;format=xml&amp;limit=1"",""//place/@lat"")"),"Loading...")</f>
        <v>Loading...</v>
      </c>
      <c r="P46" s="92" t="str">
        <f>IFERROR(__xludf.DUMMYFUNCTION("IMPORTXML(""https://nominatim.openstreetmap.org/search?q=""&amp;SUBSTITUTE($N46,"" "",""+"")&amp;""+Solo&amp;format=xml&amp;limit=1"",""//place/@lon"")"),"Loading...")</f>
        <v>Loading...</v>
      </c>
      <c r="R46" s="2" t="s">
        <v>217</v>
      </c>
      <c r="S46" s="92" t="str">
        <f>IFERROR(__xludf.DUMMYFUNCTION("IMPORTXML(""https://nominatim.openstreetmap.org/search?q=""&amp;SUBSTITUTE($R46,"" "",""+"")&amp;""+Solo&amp;format=xml&amp;limit=1"",""//place/@lat"")"),"Loading...")</f>
        <v>Loading...</v>
      </c>
      <c r="T46" s="92" t="str">
        <f>IFERROR(__xludf.DUMMYFUNCTION("IMPORTXML(""https://nominatim.openstreetmap.org/search?q=""&amp;SUBSTITUTE($R46,"" "",""+"")&amp;""+Solo&amp;format=xml&amp;limit=1"",""//place/@lon"")"),"Loading...")</f>
        <v>Loading...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>
      <c r="A47" s="2" t="s">
        <v>656</v>
      </c>
      <c r="B47" s="92" t="str">
        <f>IFERROR(__xludf.DUMMYFUNCTION("IMPORTXML(""https://nominatim.openstreetmap.org/search?q=""&amp;SUBSTITUTE($A47,"" "",""+"")&amp;""+Solo&amp;format=xml&amp;limit=1"",""//place/@lat"")"),"#N/A")</f>
        <v>#N/A</v>
      </c>
      <c r="C47" s="92" t="str">
        <f>IFERROR(__xludf.DUMMYFUNCTION("IMPORTXML(""https://nominatim.openstreetmap.org/search?q=""&amp;SUBSTITUTE($A47,"" "",""+"")&amp;""+Solo&amp;format=xml&amp;limit=1"",""//place/@lon"")"),"Loading...")</f>
        <v>Loading...</v>
      </c>
      <c r="D47" s="2">
        <v>-7.5693382</v>
      </c>
      <c r="J47" s="2" t="s">
        <v>166</v>
      </c>
      <c r="K47" s="92" t="str">
        <f>IFERROR(__xludf.DUMMYFUNCTION("IMPORTXML(""https://nominatim.openstreetmap.org/search?q=""&amp;SUBSTITUTE($J47,"" "",""+"")&amp;""+Solo&amp;format=xml&amp;limit=1"",""//place/@lat"")"),"Loading...")</f>
        <v>Loading...</v>
      </c>
      <c r="L47" s="92" t="str">
        <f>IFERROR(__xludf.DUMMYFUNCTION("IMPORTXML(""https://nominatim.openstreetmap.org/search?q=""&amp;SUBSTITUTE($J47,"" "",""+"")&amp;""+Solo&amp;format=xml&amp;limit=1"",""//place/@lon"")"),"#N/A")</f>
        <v>#N/A</v>
      </c>
      <c r="N47" s="2" t="s">
        <v>657</v>
      </c>
      <c r="O47" s="92" t="str">
        <f>IFERROR(__xludf.DUMMYFUNCTION("IMPORTXML(""https://nominatim.openstreetmap.org/search?q=""&amp;SUBSTITUTE($N47,"" "",""+"")&amp;""+Solo&amp;format=xml&amp;limit=1"",""//place/@lat"")"),"Loading...")</f>
        <v>Loading...</v>
      </c>
      <c r="P47" s="92" t="str">
        <f>IFERROR(__xludf.DUMMYFUNCTION("IMPORTXML(""https://nominatim.openstreetmap.org/search?q=""&amp;SUBSTITUTE($N47,"" "",""+"")&amp;""+Solo&amp;format=xml&amp;limit=1"",""//place/@lon"")"),"Loading...")</f>
        <v>Loading...</v>
      </c>
      <c r="R47" s="2" t="s">
        <v>356</v>
      </c>
      <c r="S47" s="92" t="str">
        <f>IFERROR(__xludf.DUMMYFUNCTION("IMPORTXML(""https://nominatim.openstreetmap.org/search?q=""&amp;SUBSTITUTE($R47,"" "",""+"")&amp;""+Solo&amp;format=xml&amp;limit=1"",""//place/@lat"")"),"Loading...")</f>
        <v>Loading...</v>
      </c>
      <c r="T47" s="92" t="str">
        <f>IFERROR(__xludf.DUMMYFUNCTION("IMPORTXML(""https://nominatim.openstreetmap.org/search?q=""&amp;SUBSTITUTE($R47,"" "",""+"")&amp;""+Solo&amp;format=xml&amp;limit=1"",""//place/@lon"")"),"Loading...")</f>
        <v>Loading...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>
      <c r="A48" s="2" t="s">
        <v>246</v>
      </c>
      <c r="B48" s="92" t="str">
        <f>IFERROR(__xludf.DUMMYFUNCTION("IMPORTXML(""https://nominatim.openstreetmap.org/search?q=""&amp;SUBSTITUTE($A48,"" "",""+"")&amp;""+Solo&amp;format=xml&amp;limit=1"",""//place/@lat"")"),"Loading...")</f>
        <v>Loading...</v>
      </c>
      <c r="C48" s="92" t="str">
        <f>IFERROR(__xludf.DUMMYFUNCTION("IMPORTXML(""https://nominatim.openstreetmap.org/search?q=""&amp;SUBSTITUTE($A48,"" "",""+"")&amp;""+Solo&amp;format=xml&amp;limit=1"",""//place/@lon"")"),"#N/A")</f>
        <v>#N/A</v>
      </c>
      <c r="J48" s="2" t="s">
        <v>165</v>
      </c>
      <c r="K48" s="92" t="str">
        <f>IFERROR(__xludf.DUMMYFUNCTION("IMPORTXML(""https://nominatim.openstreetmap.org/search?q=""&amp;SUBSTITUTE($J48,"" "",""+"")&amp;""+Solo&amp;format=xml&amp;limit=1"",""//place/@lat"")"),"Loading...")</f>
        <v>Loading...</v>
      </c>
      <c r="L48" s="92" t="str">
        <f>IFERROR(__xludf.DUMMYFUNCTION("IMPORTXML(""https://nominatim.openstreetmap.org/search?q=""&amp;SUBSTITUTE($J48,"" "",""+"")&amp;""+Solo&amp;format=xml&amp;limit=1"",""//place/@lon"")"),"Loading...")</f>
        <v>Loading...</v>
      </c>
      <c r="N48" s="2" t="s">
        <v>658</v>
      </c>
      <c r="O48" s="92" t="str">
        <f>IFERROR(__xludf.DUMMYFUNCTION("IMPORTXML(""https://nominatim.openstreetmap.org/search?q=""&amp;SUBSTITUTE($N48,"" "",""+"")&amp;""+Solo&amp;format=xml&amp;limit=1"",""//place/@lat"")"),"Loading...")</f>
        <v>Loading...</v>
      </c>
      <c r="P48" s="92" t="str">
        <f>IFERROR(__xludf.DUMMYFUNCTION("IMPORTXML(""https://nominatim.openstreetmap.org/search?q=""&amp;SUBSTITUTE($N48,"" "",""+"")&amp;""+Solo&amp;format=xml&amp;limit=1"",""//place/@lon"")"),"Loading...")</f>
        <v>Loading...</v>
      </c>
      <c r="R48" s="2" t="s">
        <v>357</v>
      </c>
      <c r="S48" s="92" t="str">
        <f>IFERROR(__xludf.DUMMYFUNCTION("IMPORTXML(""https://nominatim.openstreetmap.org/search?q=""&amp;SUBSTITUTE($R48,"" "",""+"")&amp;""+Solo&amp;format=xml&amp;limit=1"",""//place/@lat"")"),"Loading...")</f>
        <v>Loading...</v>
      </c>
      <c r="T48" s="92" t="str">
        <f>IFERROR(__xludf.DUMMYFUNCTION("IMPORTXML(""https://nominatim.openstreetmap.org/search?q=""&amp;SUBSTITUTE($R48,"" "",""+"")&amp;""+Solo&amp;format=xml&amp;limit=1"",""//place/@lon"")"),"Loading...")</f>
        <v>Loading...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>
      <c r="A49" s="2" t="s">
        <v>659</v>
      </c>
      <c r="B49" s="92" t="str">
        <f>IFERROR(__xludf.DUMMYFUNCTION("IMPORTXML(""https://nominatim.openstreetmap.org/search?q=""&amp;SUBSTITUTE($A49,"" "",""+"")&amp;""+Solo&amp;format=xml&amp;limit=1"",""//place/@lat"")"),"Loading...")</f>
        <v>Loading...</v>
      </c>
      <c r="C49" s="92" t="str">
        <f>IFERROR(__xludf.DUMMYFUNCTION("IMPORTXML(""https://nominatim.openstreetmap.org/search?q=""&amp;SUBSTITUTE($A49,"" "",""+"")&amp;""+Solo&amp;format=xml&amp;limit=1"",""//place/@lon"")"),"Loading...")</f>
        <v>Loading...</v>
      </c>
      <c r="J49" s="2" t="s">
        <v>503</v>
      </c>
      <c r="K49" s="92" t="str">
        <f>IFERROR(__xludf.DUMMYFUNCTION("IMPORTXML(""https://nominatim.openstreetmap.org/search?q=""&amp;SUBSTITUTE($J49,"" "",""+"")&amp;""+Solo&amp;format=xml&amp;limit=1"",""//place/@lat"")"),"Loading...")</f>
        <v>Loading...</v>
      </c>
      <c r="L49" s="92" t="str">
        <f>IFERROR(__xludf.DUMMYFUNCTION("IMPORTXML(""https://nominatim.openstreetmap.org/search?q=""&amp;SUBSTITUTE($J49,"" "",""+"")&amp;""+Solo&amp;format=xml&amp;limit=1"",""//place/@lon"")"),"Loading...")</f>
        <v>Loading...</v>
      </c>
      <c r="N49" s="2" t="s">
        <v>660</v>
      </c>
      <c r="O49" s="92" t="str">
        <f>IFERROR(__xludf.DUMMYFUNCTION("IMPORTXML(""https://nominatim.openstreetmap.org/search?q=""&amp;SUBSTITUTE($N49,"" "",""+"")&amp;""+Solo&amp;format=xml&amp;limit=1"",""//place/@lat"")"),"Loading...")</f>
        <v>Loading...</v>
      </c>
      <c r="P49" s="92" t="str">
        <f>IFERROR(__xludf.DUMMYFUNCTION("IMPORTXML(""https://nominatim.openstreetmap.org/search?q=""&amp;SUBSTITUTE($N49,"" "",""+"")&amp;""+Solo&amp;format=xml&amp;limit=1"",""//place/@lon"")"),"#N/A")</f>
        <v>#N/A</v>
      </c>
      <c r="R49" s="2" t="s">
        <v>358</v>
      </c>
      <c r="S49" s="92" t="str">
        <f>IFERROR(__xludf.DUMMYFUNCTION("IMPORTXML(""https://nominatim.openstreetmap.org/search?q=""&amp;SUBSTITUTE($R49,"" "",""+"")&amp;""+Solo&amp;format=xml&amp;limit=1"",""//place/@lat"")"),"Loading...")</f>
        <v>Loading...</v>
      </c>
      <c r="T49" s="92" t="str">
        <f>IFERROR(__xludf.DUMMYFUNCTION("IMPORTXML(""https://nominatim.openstreetmap.org/search?q=""&amp;SUBSTITUTE($R49,"" "",""+"")&amp;""+Solo&amp;format=xml&amp;limit=1"",""//place/@lon"")"),"Loading...")</f>
        <v>Loading...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>
      <c r="A50" s="2" t="s">
        <v>248</v>
      </c>
      <c r="B50" s="2">
        <v>-7.56075</v>
      </c>
      <c r="C50" s="2">
        <v>110.762541</v>
      </c>
      <c r="J50" s="2" t="s">
        <v>502</v>
      </c>
      <c r="K50" s="92" t="str">
        <f>IFERROR(__xludf.DUMMYFUNCTION("IMPORTXML(""https://nominatim.openstreetmap.org/search?q=""&amp;SUBSTITUTE($J50,"" "",""+"")&amp;""+Solo&amp;format=xml&amp;limit=1"",""//place/@lat"")"),"Loading...")</f>
        <v>Loading...</v>
      </c>
      <c r="L50" s="92" t="str">
        <f>IFERROR(__xludf.DUMMYFUNCTION("IMPORTXML(""https://nominatim.openstreetmap.org/search?q=""&amp;SUBSTITUTE($J50,"" "",""+"")&amp;""+Solo&amp;format=xml&amp;limit=1"",""//place/@lon"")"),"#N/A")</f>
        <v>#N/A</v>
      </c>
      <c r="N50" s="2" t="s">
        <v>661</v>
      </c>
      <c r="O50" s="92" t="str">
        <f>IFERROR(__xludf.DUMMYFUNCTION("IMPORTXML(""https://nominatim.openstreetmap.org/search?q=""&amp;SUBSTITUTE($N50,"" "",""+"")&amp;""+Solo&amp;format=xml&amp;limit=1"",""//place/@lat"")"),"Loading...")</f>
        <v>Loading...</v>
      </c>
      <c r="P50" s="92" t="str">
        <f>IFERROR(__xludf.DUMMYFUNCTION("IMPORTXML(""https://nominatim.openstreetmap.org/search?q=""&amp;SUBSTITUTE($N50,"" "",""+"")&amp;""+Solo&amp;format=xml&amp;limit=1"",""//place/@lon"")"),"Loading...")</f>
        <v>Loading...</v>
      </c>
      <c r="R50" s="2" t="s">
        <v>359</v>
      </c>
      <c r="S50" s="92" t="str">
        <f>IFERROR(__xludf.DUMMYFUNCTION("IMPORTXML(""https://nominatim.openstreetmap.org/search?q=""&amp;SUBSTITUTE($R50,"" "",""+"")&amp;""+Solo&amp;format=xml&amp;limit=1"",""//place/@lat"")"),"Loading...")</f>
        <v>Loading...</v>
      </c>
      <c r="T50" s="92" t="str">
        <f>IFERROR(__xludf.DUMMYFUNCTION("IMPORTXML(""https://nominatim.openstreetmap.org/search?q=""&amp;SUBSTITUTE($R50,"" "",""+"")&amp;""+Solo&amp;format=xml&amp;limit=1"",""//place/@lon"")"),"Loading...")</f>
        <v>Loading...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>
      <c r="A51" s="2" t="s">
        <v>249</v>
      </c>
      <c r="B51" s="92" t="str">
        <f>IFERROR(__xludf.DUMMYFUNCTION("IMPORTXML(""https://nominatim.openstreetmap.org/search?q=""&amp;SUBSTITUTE($A51,"" "",""+"")&amp;""+Solo&amp;format=xml&amp;limit=1"",""//place/@lat"")"),"Loading...")</f>
        <v>Loading...</v>
      </c>
      <c r="C51" s="92" t="str">
        <f>IFERROR(__xludf.DUMMYFUNCTION("IMPORTXML(""https://nominatim.openstreetmap.org/search?q=""&amp;SUBSTITUTE($A51,"" "",""+"")&amp;""+Solo&amp;format=xml&amp;limit=1"",""//place/@lon"")"),"Loading...")</f>
        <v>Loading...</v>
      </c>
      <c r="J51" s="2" t="s">
        <v>66</v>
      </c>
      <c r="K51" s="92" t="str">
        <f>IFERROR(__xludf.DUMMYFUNCTION("IMPORTXML(""https://nominatim.openstreetmap.org/search?q=""&amp;SUBSTITUTE($J51,"" "",""+"")&amp;""+Solo&amp;format=xml&amp;limit=1"",""//place/@lat"")"),"Loading...")</f>
        <v>Loading...</v>
      </c>
      <c r="L51" s="92" t="str">
        <f>IFERROR(__xludf.DUMMYFUNCTION("IMPORTXML(""https://nominatim.openstreetmap.org/search?q=""&amp;SUBSTITUTE($J51,"" "",""+"")&amp;""+Solo&amp;format=xml&amp;limit=1"",""//place/@lon"")"),"Loading...")</f>
        <v>Loading...</v>
      </c>
      <c r="N51" s="2" t="s">
        <v>662</v>
      </c>
      <c r="O51" s="92" t="str">
        <f>IFERROR(__xludf.DUMMYFUNCTION("IMPORTXML(""https://nominatim.openstreetmap.org/search?q=""&amp;SUBSTITUTE($N51,"" "",""+"")&amp;""+Solo&amp;format=xml&amp;limit=1"",""//place/@lat"")"),"Loading...")</f>
        <v>Loading...</v>
      </c>
      <c r="P51" s="92" t="str">
        <f>IFERROR(__xludf.DUMMYFUNCTION("IMPORTXML(""https://nominatim.openstreetmap.org/search?q=""&amp;SUBSTITUTE($N51,"" "",""+"")&amp;""+Solo&amp;format=xml&amp;limit=1"",""//place/@lon"")"),"#N/A")</f>
        <v>#N/A</v>
      </c>
      <c r="R51" s="2" t="s">
        <v>360</v>
      </c>
      <c r="S51" s="92" t="str">
        <f>IFERROR(__xludf.DUMMYFUNCTION("IMPORTXML(""https://nominatim.openstreetmap.org/search?q=""&amp;SUBSTITUTE($R51,"" "",""+"")&amp;""+Solo&amp;format=xml&amp;limit=1"",""//place/@lat"")"),"Loading...")</f>
        <v>Loading...</v>
      </c>
      <c r="T51" s="92" t="str">
        <f>IFERROR(__xludf.DUMMYFUNCTION("IMPORTXML(""https://nominatim.openstreetmap.org/search?q=""&amp;SUBSTITUTE($R51,"" "",""+"")&amp;""+Solo&amp;format=xml&amp;limit=1"",""//place/@lon"")"),"#N/A")</f>
        <v>#N/A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>
      <c r="A52" s="2" t="s">
        <v>250</v>
      </c>
      <c r="B52" s="2">
        <v>-7.559467</v>
      </c>
      <c r="C52" s="2">
        <v>110.75629</v>
      </c>
      <c r="J52" s="2" t="s">
        <v>487</v>
      </c>
      <c r="K52" s="92" t="str">
        <f>IFERROR(__xludf.DUMMYFUNCTION("IMPORTXML(""https://nominatim.openstreetmap.org/search?q=""&amp;SUBSTITUTE($J52,"" "",""+"")&amp;""+Solo&amp;format=xml&amp;limit=1"",""//place/@lat"")"),"Loading...")</f>
        <v>Loading...</v>
      </c>
      <c r="L52" s="92" t="str">
        <f>IFERROR(__xludf.DUMMYFUNCTION("IMPORTXML(""https://nominatim.openstreetmap.org/search?q=""&amp;SUBSTITUTE($J52,"" "",""+"")&amp;""+Solo&amp;format=xml&amp;limit=1"",""//place/@lon"")"),"Loading...")</f>
        <v>Loading...</v>
      </c>
      <c r="N52" s="2" t="s">
        <v>512</v>
      </c>
      <c r="O52" s="92" t="str">
        <f>IFERROR(__xludf.DUMMYFUNCTION("IMPORTXML(""https://nominatim.openstreetmap.org/search?q=""&amp;SUBSTITUTE($N52,"" "",""+"")&amp;""+Solo&amp;format=xml&amp;limit=1"",""//place/@lat"")"),"Loading...")</f>
        <v>Loading...</v>
      </c>
      <c r="P52" s="92" t="str">
        <f>IFERROR(__xludf.DUMMYFUNCTION("IMPORTXML(""https://nominatim.openstreetmap.org/search?q=""&amp;SUBSTITUTE($N52,"" "",""+"")&amp;""+Solo&amp;format=xml&amp;limit=1"",""//place/@lon"")"),"Loading...")</f>
        <v>Loading...</v>
      </c>
      <c r="R52" s="2" t="s">
        <v>361</v>
      </c>
      <c r="S52" s="92" t="str">
        <f>IFERROR(__xludf.DUMMYFUNCTION("IMPORTXML(""https://nominatim.openstreetmap.org/search?q=""&amp;SUBSTITUTE($R52,"" "",""+"")&amp;""+Solo&amp;format=xml&amp;limit=1"",""//place/@lat"")"),"Loading...")</f>
        <v>Loading...</v>
      </c>
      <c r="T52" s="92" t="str">
        <f>IFERROR(__xludf.DUMMYFUNCTION("IMPORTXML(""https://nominatim.openstreetmap.org/search?q=""&amp;SUBSTITUTE($R52,"" "",""+"")&amp;""+Solo&amp;format=xml&amp;limit=1"",""//place/@lon"")"),"#N/A")</f>
        <v>#N/A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>
      <c r="A53" s="2" t="s">
        <v>251</v>
      </c>
      <c r="B53" s="2">
        <v>-7.558006</v>
      </c>
      <c r="C53" s="2">
        <v>110.75366</v>
      </c>
      <c r="J53" s="2" t="s">
        <v>654</v>
      </c>
      <c r="K53" s="92" t="str">
        <f>IFERROR(__xludf.DUMMYFUNCTION("IMPORTXML(""https://nominatim.openstreetmap.org/search?q=""&amp;SUBSTITUTE($J53,"" "",""+"")&amp;""+Solo&amp;format=xml&amp;limit=1"",""//place/@lat"")"),"Loading...")</f>
        <v>Loading...</v>
      </c>
      <c r="L53" s="92" t="str">
        <f>IFERROR(__xludf.DUMMYFUNCTION("IMPORTXML(""https://nominatim.openstreetmap.org/search?q=""&amp;SUBSTITUTE($J53,"" "",""+"")&amp;""+Solo&amp;format=xml&amp;limit=1"",""//place/@lon"")"),"Loading...")</f>
        <v>Loading...</v>
      </c>
      <c r="N53" s="2" t="s">
        <v>63</v>
      </c>
      <c r="O53" s="92" t="str">
        <f>IFERROR(__xludf.DUMMYFUNCTION("IMPORTXML(""https://nominatim.openstreetmap.org/search?q=""&amp;SUBSTITUTE($N53,"" "",""+"")&amp;""+Solo&amp;format=xml&amp;limit=1"",""//place/@lat"")"),"#N/A")</f>
        <v>#N/A</v>
      </c>
      <c r="P53" s="92" t="str">
        <f>IFERROR(__xludf.DUMMYFUNCTION("IMPORTXML(""https://nominatim.openstreetmap.org/search?q=""&amp;SUBSTITUTE($N53,"" "",""+"")&amp;""+Solo&amp;format=xml&amp;limit=1"",""//place/@lon"")"),"Loading...")</f>
        <v>Loading...</v>
      </c>
      <c r="R53" s="2" t="s">
        <v>362</v>
      </c>
      <c r="S53" s="92" t="str">
        <f>IFERROR(__xludf.DUMMYFUNCTION("IMPORTXML(""https://nominatim.openstreetmap.org/search?q=""&amp;SUBSTITUTE($R53,"" "",""+"")&amp;""+Solo&amp;format=xml&amp;limit=1"",""//place/@lat"")"),"Loading...")</f>
        <v>Loading...</v>
      </c>
      <c r="T53" s="92" t="str">
        <f>IFERROR(__xludf.DUMMYFUNCTION("IMPORTXML(""https://nominatim.openstreetmap.org/search?q=""&amp;SUBSTITUTE($R53,"" "",""+"")&amp;""+Solo&amp;format=xml&amp;limit=1"",""//place/@lon"")"),"Loading...")</f>
        <v>Loading...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>
      <c r="A54" s="2" t="s">
        <v>252</v>
      </c>
      <c r="B54" s="2">
        <v>-7.5564703</v>
      </c>
      <c r="C54" s="2">
        <v>110.7508007</v>
      </c>
      <c r="J54" s="2" t="s">
        <v>205</v>
      </c>
      <c r="K54" s="92" t="str">
        <f>IFERROR(__xludf.DUMMYFUNCTION("IMPORTXML(""https://nominatim.openstreetmap.org/search?q=""&amp;SUBSTITUTE($J54,"" "",""+"")&amp;""+Solo&amp;format=xml&amp;limit=1"",""//place/@lat"")"),"Loading...")</f>
        <v>Loading...</v>
      </c>
      <c r="L54" s="92" t="str">
        <f>IFERROR(__xludf.DUMMYFUNCTION("IMPORTXML(""https://nominatim.openstreetmap.org/search?q=""&amp;SUBSTITUTE($J54,"" "",""+"")&amp;""+Solo&amp;format=xml&amp;limit=1"",""//place/@lon"")"),"Loading...")</f>
        <v>Loading...</v>
      </c>
      <c r="N54" s="2" t="s">
        <v>8</v>
      </c>
      <c r="O54" s="92" t="str">
        <f>IFERROR(__xludf.DUMMYFUNCTION("IMPORTXML(""https://nominatim.openstreetmap.org/search?q=""&amp;SUBSTITUTE($N54,"" "",""+"")&amp;""&amp;format=xml&amp;limit=1"",""//place/@lat"")"),"Loading...")</f>
        <v>Loading...</v>
      </c>
      <c r="P54" s="92" t="str">
        <f>IFERROR(__xludf.DUMMYFUNCTION("IMPORTXML(""https://nominatim.openstreetmap.org/search?q=""&amp;SUBSTITUTE($N54,"" "",""+"")&amp;""+Solo&amp;format=xml&amp;limit=1"",""//place/@lon"")"),"Loading...")</f>
        <v>Loading...</v>
      </c>
      <c r="R54" s="2" t="s">
        <v>363</v>
      </c>
      <c r="S54" s="92" t="str">
        <f>IFERROR(__xludf.DUMMYFUNCTION("IMPORTXML(""https://nominatim.openstreetmap.org/search?q=""&amp;SUBSTITUTE($R54,"" "",""+"")&amp;""+Solo&amp;format=xml&amp;limit=1"",""//place/@lat"")"),"Loading...")</f>
        <v>Loading...</v>
      </c>
      <c r="T54" s="92" t="str">
        <f>IFERROR(__xludf.DUMMYFUNCTION("IMPORTXML(""https://nominatim.openstreetmap.org/search?q=""&amp;SUBSTITUTE($R54,"" "",""+"")&amp;""+Solo&amp;format=xml&amp;limit=1"",""//place/@lon"")"),"#N/A")</f>
        <v>#N/A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>
      <c r="A55" s="2" t="s">
        <v>253</v>
      </c>
      <c r="B55" s="2">
        <v>-7.555268</v>
      </c>
      <c r="C55" s="2">
        <v>110.747853</v>
      </c>
      <c r="J55" s="2" t="s">
        <v>304</v>
      </c>
      <c r="K55" s="92" t="str">
        <f>IFERROR(__xludf.DUMMYFUNCTION("IMPORTXML(""https://nominatim.openstreetmap.org/search?q=""&amp;SUBSTITUTE($J55,"" "",""+"")&amp;""+Solo&amp;format=xml&amp;limit=1"",""//place/@lat"")"),"Loading...")</f>
        <v>Loading...</v>
      </c>
      <c r="L55" s="92" t="str">
        <f>IFERROR(__xludf.DUMMYFUNCTION("IMPORTXML(""https://nominatim.openstreetmap.org/search?q=""&amp;SUBSTITUTE($J55,"" "",""+"")&amp;""+Solo&amp;format=xml&amp;limit=1"",""//place/@lon"")"),"Loading...")</f>
        <v>Loading...</v>
      </c>
      <c r="R55" s="2" t="s">
        <v>364</v>
      </c>
      <c r="S55" s="92" t="str">
        <f>IFERROR(__xludf.DUMMYFUNCTION("IMPORTXML(""https://nominatim.openstreetmap.org/search?q=""&amp;SUBSTITUTE($R55,"" "",""+"")&amp;""+Solo&amp;format=xml&amp;limit=1"",""//place/@lat"")"),"Loading...")</f>
        <v>Loading...</v>
      </c>
      <c r="T55" s="92" t="str">
        <f>IFERROR(__xludf.DUMMYFUNCTION("IMPORTXML(""https://nominatim.openstreetmap.org/search?q=""&amp;SUBSTITUTE($R55,"" "",""+"")&amp;""+Solo&amp;format=xml&amp;limit=1"",""//place/@lon"")"),"Loading...")</f>
        <v>Loading...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>
      <c r="A56" s="2" t="s">
        <v>663</v>
      </c>
      <c r="B56" s="92" t="str">
        <f>IFERROR(__xludf.DUMMYFUNCTION("IMPORTXML(""https://nominatim.openstreetmap.org/search?q=""&amp;SUBSTITUTE($A56,"" "",""+"")&amp;""+Solo&amp;format=xml&amp;limit=1"",""//place/@lat"")"),"Loading...")</f>
        <v>Loading...</v>
      </c>
      <c r="C56" s="92" t="str">
        <f>IFERROR(__xludf.DUMMYFUNCTION("IMPORTXML(""https://nominatim.openstreetmap.org/search?q=""&amp;SUBSTITUTE($A56,"" "",""+"")&amp;""+Solo&amp;format=xml&amp;limit=1"",""//place/@lon"")"),"#N/A")</f>
        <v>#N/A</v>
      </c>
      <c r="D56" s="2">
        <v>-7.5715139</v>
      </c>
      <c r="J56" s="2" t="s">
        <v>664</v>
      </c>
      <c r="K56" s="92" t="str">
        <f>IFERROR(__xludf.DUMMYFUNCTION("IMPORTXML(""https://nominatim.openstreetmap.org/search?q=""&amp;SUBSTITUTE($J56,"" "",""+"")&amp;""+Solo&amp;format=xml&amp;limit=1"",""//place/@lat"")"),"Loading...")</f>
        <v>Loading...</v>
      </c>
      <c r="L56" s="92" t="str">
        <f>IFERROR(__xludf.DUMMYFUNCTION("IMPORTXML(""https://nominatim.openstreetmap.org/search?q=""&amp;SUBSTITUTE($J56,"" "",""+"")&amp;""+Solo&amp;format=xml&amp;limit=1"",""//place/@lon"")"),"#N/A")</f>
        <v>#N/A</v>
      </c>
      <c r="R56" s="2" t="s">
        <v>365</v>
      </c>
      <c r="S56" s="92" t="str">
        <f>IFERROR(__xludf.DUMMYFUNCTION("IMPORTXML(""https://nominatim.openstreetmap.org/search?q=""&amp;SUBSTITUTE($R56,"" "",""+"")&amp;""+Solo&amp;format=xml&amp;limit=1"",""//place/@lat"")"),"Loading...")</f>
        <v>Loading...</v>
      </c>
      <c r="T56" s="92" t="str">
        <f>IFERROR(__xludf.DUMMYFUNCTION("IMPORTXML(""https://nominatim.openstreetmap.org/search?q=""&amp;SUBSTITUTE($R56,"" "",""+"")&amp;""+Solo&amp;format=xml&amp;limit=1"",""//place/@lon"")"),"#N/A")</f>
        <v>#N/A</v>
      </c>
    </row>
    <row r="57">
      <c r="A57" s="2" t="s">
        <v>255</v>
      </c>
      <c r="B57" s="2">
        <v>-7.553264</v>
      </c>
      <c r="C57" s="2">
        <v>110.7439</v>
      </c>
      <c r="J57" s="2" t="s">
        <v>665</v>
      </c>
      <c r="K57" s="92" t="str">
        <f>IFERROR(__xludf.DUMMYFUNCTION("IMPORTXML(""https://nominatim.openstreetmap.org/search?q=""&amp;SUBSTITUTE($J57,"" "",""+"")&amp;""+Solo&amp;format=xml&amp;limit=1"",""//place/@lat"")"),"Loading...")</f>
        <v>Loading...</v>
      </c>
      <c r="L57" s="92" t="str">
        <f>IFERROR(__xludf.DUMMYFUNCTION("IMPORTXML(""https://nominatim.openstreetmap.org/search?q=""&amp;SUBSTITUTE($J57,"" "",""+"")&amp;""+Solo&amp;format=xml&amp;limit=1"",""//place/@lon"")"),"Loading...")</f>
        <v>Loading...</v>
      </c>
      <c r="R57" s="2" t="s">
        <v>366</v>
      </c>
      <c r="S57" s="92" t="str">
        <f>IFERROR(__xludf.DUMMYFUNCTION("IMPORTXML(""https://nominatim.openstreetmap.org/search?q=""&amp;SUBSTITUTE($R57,"" "",""+"")&amp;""+Solo&amp;format=xml&amp;limit=1"",""//place/@lat"")"),"Loading...")</f>
        <v>Loading...</v>
      </c>
      <c r="T57" s="92" t="str">
        <f>IFERROR(__xludf.DUMMYFUNCTION("IMPORTXML(""https://nominatim.openstreetmap.org/search?q=""&amp;SUBSTITUTE($R57,"" "",""+"")&amp;""+Solo&amp;format=xml&amp;limit=1"",""//place/@lon"")"),"Loading...")</f>
        <v>Loading...</v>
      </c>
    </row>
    <row r="58">
      <c r="A58" s="2" t="s">
        <v>256</v>
      </c>
      <c r="B58" s="92" t="str">
        <f>IFERROR(__xludf.DUMMYFUNCTION("IMPORTXML(""https://nominatim.openstreetmap.org/search?q=""&amp;SUBSTITUTE($A58,"" "",""+"")&amp;""+Solo&amp;format=xml&amp;limit=1"",""//place/@lat"")"),"Loading...")</f>
        <v>Loading...</v>
      </c>
      <c r="C58" s="92" t="str">
        <f>IFERROR(__xludf.DUMMYFUNCTION("IMPORTXML(""https://nominatim.openstreetmap.org/search?q=""&amp;SUBSTITUTE($A58,"" "",""+"")&amp;""+Solo&amp;format=xml&amp;limit=1"",""//place/@lon"")"),"Loading...")</f>
        <v>Loading...</v>
      </c>
      <c r="R58" s="2" t="s">
        <v>367</v>
      </c>
      <c r="S58" s="92" t="str">
        <f>IFERROR(__xludf.DUMMYFUNCTION("IMPORTXML(""https://nominatim.openstreetmap.org/search?q=""&amp;SUBSTITUTE($R58,"" "",""+"")&amp;""+Solo&amp;format=xml&amp;limit=1"",""//place/@lat"")"),"#N/A")</f>
        <v>#N/A</v>
      </c>
      <c r="T58" s="92" t="str">
        <f>IFERROR(__xludf.DUMMYFUNCTION("IMPORTXML(""https://nominatim.openstreetmap.org/search?q=""&amp;SUBSTITUTE($R58,"" "",""+"")&amp;""+Solo&amp;format=xml&amp;limit=1"",""//place/@lon"")"),"Loading...")</f>
        <v>Loading...</v>
      </c>
    </row>
    <row r="59">
      <c r="A59" s="2" t="s">
        <v>257</v>
      </c>
      <c r="B59" s="2">
        <v>-7.548608</v>
      </c>
      <c r="C59" s="2">
        <v>110.743229</v>
      </c>
      <c r="R59" s="2" t="s">
        <v>368</v>
      </c>
      <c r="S59" s="92" t="str">
        <f>IFERROR(__xludf.DUMMYFUNCTION("IMPORTXML(""https://nominatim.openstreetmap.org/search?q=""&amp;SUBSTITUTE($R59,"" "",""+"")&amp;""+Solo&amp;format=xml&amp;limit=1"",""//place/@lat"")"),"#N/A")</f>
        <v>#N/A</v>
      </c>
      <c r="T59" s="92" t="str">
        <f>IFERROR(__xludf.DUMMYFUNCTION("IMPORTXML(""https://nominatim.openstreetmap.org/search?q=""&amp;SUBSTITUTE($R59,"" "",""+"")&amp;""+Solo&amp;format=xml&amp;limit=1"",""//place/@lon"")"),"Loading...")</f>
        <v>Loading...</v>
      </c>
    </row>
    <row r="60">
      <c r="A60" s="2" t="s">
        <v>666</v>
      </c>
      <c r="B60" s="92" t="str">
        <f>IFERROR(__xludf.DUMMYFUNCTION("IMPORTXML(""https://nominatim.openstreetmap.org/search?q=""&amp;SUBSTITUTE($A60,"" "",""+"")&amp;""+Solo&amp;format=xml&amp;limit=1"",""//place/@lat"")"),"Loading...")</f>
        <v>Loading...</v>
      </c>
      <c r="C60" s="92" t="str">
        <f>IFERROR(__xludf.DUMMYFUNCTION("IMPORTXML(""https://nominatim.openstreetmap.org/search?q=""&amp;SUBSTITUTE($A60,"" "",""+"")&amp;""+Solo&amp;format=xml&amp;limit=1"",""//place/@lon"")"),"Loading...")</f>
        <v>Loading...</v>
      </c>
      <c r="D60" s="2">
        <v>-7.6328274</v>
      </c>
      <c r="R60" s="2" t="s">
        <v>369</v>
      </c>
      <c r="S60" s="92" t="str">
        <f>IFERROR(__xludf.DUMMYFUNCTION("IMPORTXML(""https://nominatim.openstreetmap.org/search?q=""&amp;SUBSTITUTE($R60,"" "",""+"")&amp;""+Solo&amp;format=xml&amp;limit=1"",""//place/@lat"")"),"#N/A")</f>
        <v>#N/A</v>
      </c>
      <c r="T60" s="92" t="str">
        <f>IFERROR(__xludf.DUMMYFUNCTION("IMPORTXML(""https://nominatim.openstreetmap.org/search?q=""&amp;SUBSTITUTE($R60,"" "",""+"")&amp;""+Solo&amp;format=xml&amp;limit=1"",""//place/@lon"")"),"Loading...")</f>
        <v>Loading...</v>
      </c>
    </row>
    <row r="61">
      <c r="A61" s="2" t="s">
        <v>182</v>
      </c>
      <c r="B61" s="2">
        <v>-7.546158</v>
      </c>
      <c r="C61" s="2">
        <v>110.742928</v>
      </c>
      <c r="R61" s="2" t="s">
        <v>370</v>
      </c>
      <c r="S61" s="92" t="str">
        <f>IFERROR(__xludf.DUMMYFUNCTION("IMPORTXML(""https://nominatim.openstreetmap.org/search?q=""&amp;SUBSTITUTE($R61,"" "",""+"")&amp;""+Solo&amp;format=xml&amp;limit=1"",""//place/@lat"")"),"#N/A")</f>
        <v>#N/A</v>
      </c>
      <c r="T61" s="92" t="str">
        <f>IFERROR(__xludf.DUMMYFUNCTION("IMPORTXML(""https://nominatim.openstreetmap.org/search?q=""&amp;SUBSTITUTE($R61,"" "",""+"")&amp;""+Solo&amp;format=xml&amp;limit=1"",""//place/@lon"")"),"Loading...")</f>
        <v>Loading...</v>
      </c>
    </row>
    <row r="62">
      <c r="A62" s="2" t="s">
        <v>183</v>
      </c>
      <c r="B62" s="2">
        <v>-7.543914</v>
      </c>
      <c r="C62" s="2">
        <v>110.73507</v>
      </c>
      <c r="R62" s="2" t="s">
        <v>371</v>
      </c>
      <c r="S62" s="92" t="str">
        <f>IFERROR(__xludf.DUMMYFUNCTION("IMPORTXML(""https://nominatim.openstreetmap.org/search?q=""&amp;SUBSTITUTE($R62,"" "",""+"")&amp;""+Solo&amp;format=xml&amp;limit=1"",""//place/@lat"")"),"#N/A")</f>
        <v>#N/A</v>
      </c>
      <c r="T62" s="92" t="str">
        <f>IFERROR(__xludf.DUMMYFUNCTION("IMPORTXML(""https://nominatim.openstreetmap.org/search?q=""&amp;SUBSTITUTE($R62,"" "",""+"")&amp;""+Solo&amp;format=xml&amp;limit=1"",""//place/@lon"")"),"Loading...")</f>
        <v>Loading...</v>
      </c>
    </row>
    <row r="63">
      <c r="A63" s="2" t="s">
        <v>551</v>
      </c>
      <c r="B63" s="92" t="str">
        <f>IFERROR(__xludf.DUMMYFUNCTION("IMPORTXML(""https://nominatim.openstreetmap.org/search?q=""&amp;SUBSTITUTE($A63,"" "",""+"")&amp;""+Solo&amp;format=xml&amp;limit=1"",""//place/@lat"")"),"#N/A")</f>
        <v>#N/A</v>
      </c>
      <c r="C63" s="92" t="str">
        <f>IFERROR(__xludf.DUMMYFUNCTION("IMPORTXML(""https://nominatim.openstreetmap.org/search?q=""&amp;SUBSTITUTE($A63,"" "",""+"")&amp;""+Solo&amp;format=xml&amp;limit=1"",""//place/@lon"")"),"Loading...")</f>
        <v>Loading...</v>
      </c>
    </row>
    <row r="64">
      <c r="A64" s="2" t="s">
        <v>185</v>
      </c>
      <c r="B64" s="92" t="str">
        <f>IFERROR(__xludf.DUMMYFUNCTION("IMPORTXML(""https://nominatim.openstreetmap.org/search?q=""&amp;SUBSTITUTE($A64,"" "",""+"")&amp;""+Solo&amp;format=xml&amp;limit=1"",""//place/@lat"")"),"#N/A")</f>
        <v>#N/A</v>
      </c>
      <c r="C64" s="92" t="str">
        <f>IFERROR(__xludf.DUMMYFUNCTION("IMPORTXML(""https://nominatim.openstreetmap.org/search?q=""&amp;SUBSTITUTE($A64,"" "",""+"")&amp;""+Solo&amp;format=xml&amp;limit=1"",""//place/@lon"")"),"Loading...")</f>
        <v>Loading...</v>
      </c>
    </row>
    <row r="65">
      <c r="A65" s="2" t="s">
        <v>186</v>
      </c>
      <c r="B65" s="2">
        <v>-7.534611</v>
      </c>
      <c r="C65" s="2">
        <v>110.746722</v>
      </c>
    </row>
    <row r="66">
      <c r="A66" s="2" t="s">
        <v>187</v>
      </c>
      <c r="B66" s="2">
        <v>-7.530962</v>
      </c>
      <c r="C66" s="2">
        <v>110.747637</v>
      </c>
    </row>
    <row r="67">
      <c r="A67" s="2" t="s">
        <v>259</v>
      </c>
      <c r="B67" s="2">
        <v>-7.527551</v>
      </c>
      <c r="C67" s="2">
        <v>110.74815</v>
      </c>
    </row>
    <row r="68">
      <c r="A68" s="2" t="s">
        <v>260</v>
      </c>
      <c r="B68" s="92" t="str">
        <f>IFERROR(__xludf.DUMMYFUNCTION("IMPORTXML(""https://nominatim.openstreetmap.org/search?q=""&amp;SUBSTITUTE($A68,"" "",""+"")&amp;""+Solo&amp;format=xml&amp;limit=1"",""//place/@lat"")"),"Loading...")</f>
        <v>Loading...</v>
      </c>
      <c r="C68" s="92" t="str">
        <f>IFERROR(__xludf.DUMMYFUNCTION("IMPORTXML(""https://nominatim.openstreetmap.org/search?q=""&amp;SUBSTITUTE($A68,"" "",""+"")&amp;""+Solo&amp;format=xml&amp;limit=1"",""//place/@lon"")"),"Loading...")</f>
        <v>Loading...</v>
      </c>
    </row>
    <row r="69">
      <c r="A69" s="2" t="s">
        <v>261</v>
      </c>
      <c r="B69" s="2">
        <v>-7.512383</v>
      </c>
      <c r="C69" s="2">
        <v>110.74553</v>
      </c>
    </row>
    <row r="70">
      <c r="A70" s="2" t="s">
        <v>667</v>
      </c>
      <c r="B70" s="92" t="str">
        <f>IFERROR(__xludf.DUMMYFUNCTION("IMPORTXML(""https://nominatim.openstreetmap.org/search?q=""&amp;SUBSTITUTE($A70,"" "",""+"")&amp;""+Solo&amp;format=xml&amp;limit=1"",""//place/@lat"")"),"Loading...")</f>
        <v>Loading...</v>
      </c>
      <c r="C70" s="92" t="str">
        <f>IFERROR(__xludf.DUMMYFUNCTION("IMPORTXML(""https://nominatim.openstreetmap.org/search?q=""&amp;SUBSTITUTE($A70,"" "",""+"")&amp;""+Solo&amp;format=xml&amp;limit=1"",""//place/@lon"")"),"Loading...")</f>
        <v>Loading...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1.88"/>
    <col customWidth="1" min="3" max="3" width="14.63"/>
    <col customWidth="1" min="4" max="4" width="14.13"/>
    <col customWidth="1" min="6" max="6" width="8.38"/>
    <col customWidth="1" min="7" max="7" width="25.5"/>
    <col customWidth="1" min="8" max="8" width="15.25"/>
    <col customWidth="1" min="9" max="9" width="16.25"/>
    <col customWidth="1" min="11" max="11" width="7.88"/>
    <col customWidth="1" min="12" max="12" width="26.13"/>
    <col customWidth="1" min="13" max="13" width="15.25"/>
    <col customWidth="1" min="14" max="14" width="15.63"/>
    <col customWidth="1" min="16" max="16" width="7.75"/>
    <col customWidth="1" min="17" max="17" width="29.38"/>
    <col customWidth="1" min="18" max="18" width="14.75"/>
    <col customWidth="1" min="19" max="19" width="15.63"/>
    <col customWidth="1" min="21" max="21" width="8.13"/>
    <col customWidth="1" min="22" max="22" width="29.25"/>
    <col customWidth="1" min="23" max="23" width="15.5"/>
    <col customWidth="1" min="24" max="24" width="15.38"/>
    <col customWidth="1" min="26" max="26" width="8.75"/>
    <col customWidth="1" min="27" max="27" width="38.25"/>
    <col customWidth="1" min="28" max="28" width="14.38"/>
    <col customWidth="1" min="29" max="29" width="15.63"/>
    <col customWidth="1" min="31" max="31" width="9.0"/>
    <col customWidth="1" min="32" max="32" width="37.63"/>
    <col customWidth="1" min="33" max="34" width="15.25"/>
    <col customWidth="1" min="36" max="36" width="8.63"/>
    <col customWidth="1" min="37" max="37" width="27.88"/>
    <col customWidth="1" min="38" max="38" width="15.38"/>
    <col customWidth="1" min="39" max="39" width="15.25"/>
    <col customWidth="1" min="41" max="41" width="9.38"/>
    <col customWidth="1" min="42" max="42" width="33.25"/>
    <col customWidth="1" min="43" max="43" width="15.25"/>
    <col customWidth="1" min="44" max="44" width="16.0"/>
    <col customWidth="1" min="46" max="46" width="8.88"/>
    <col customWidth="1" min="47" max="47" width="27.25"/>
    <col customWidth="1" min="48" max="48" width="14.63"/>
    <col customWidth="1" min="49" max="49" width="15.5"/>
  </cols>
  <sheetData>
    <row r="2">
      <c r="A2" s="68" t="s">
        <v>528</v>
      </c>
    </row>
    <row r="4">
      <c r="A4" s="38" t="s">
        <v>10</v>
      </c>
      <c r="B4" s="38" t="s">
        <v>11</v>
      </c>
      <c r="C4" s="69"/>
      <c r="D4" s="69"/>
      <c r="E4" s="20"/>
      <c r="F4" s="40" t="s">
        <v>14</v>
      </c>
      <c r="G4" s="40" t="s">
        <v>15</v>
      </c>
      <c r="H4" s="70"/>
      <c r="I4" s="70"/>
      <c r="J4" s="20"/>
      <c r="K4" s="42" t="s">
        <v>18</v>
      </c>
      <c r="L4" s="42" t="s">
        <v>19</v>
      </c>
      <c r="M4" s="71"/>
      <c r="N4" s="71"/>
      <c r="O4" s="20"/>
      <c r="P4" s="44" t="s">
        <v>21</v>
      </c>
      <c r="Q4" s="44" t="s">
        <v>23</v>
      </c>
      <c r="R4" s="72"/>
      <c r="S4" s="72"/>
      <c r="T4" s="20"/>
      <c r="U4" s="46" t="s">
        <v>28</v>
      </c>
      <c r="V4" s="46" t="s">
        <v>29</v>
      </c>
      <c r="W4" s="73"/>
      <c r="X4" s="73"/>
      <c r="Y4" s="20"/>
      <c r="Z4" s="48" t="s">
        <v>33</v>
      </c>
      <c r="AA4" s="48" t="s">
        <v>34</v>
      </c>
      <c r="AB4" s="74"/>
      <c r="AC4" s="74"/>
      <c r="AD4" s="20"/>
      <c r="AE4" s="50" t="s">
        <v>38</v>
      </c>
      <c r="AF4" s="50" t="s">
        <v>39</v>
      </c>
      <c r="AG4" s="75"/>
      <c r="AH4" s="75"/>
      <c r="AI4" s="20"/>
      <c r="AJ4" s="52" t="s">
        <v>43</v>
      </c>
      <c r="AK4" s="52" t="s">
        <v>44</v>
      </c>
      <c r="AL4" s="52"/>
      <c r="AM4" s="76"/>
      <c r="AN4" s="20"/>
      <c r="AO4" s="54" t="s">
        <v>48</v>
      </c>
      <c r="AP4" s="54" t="s">
        <v>49</v>
      </c>
      <c r="AQ4" s="77"/>
      <c r="AR4" s="77"/>
      <c r="AS4" s="20"/>
      <c r="AT4" s="78" t="s">
        <v>25</v>
      </c>
      <c r="AU4" s="78" t="s">
        <v>52</v>
      </c>
      <c r="AV4" s="79"/>
      <c r="AW4" s="78"/>
    </row>
    <row r="5">
      <c r="A5" s="38" t="s">
        <v>526</v>
      </c>
      <c r="C5" s="80" t="s">
        <v>529</v>
      </c>
      <c r="D5" s="80" t="s">
        <v>530</v>
      </c>
      <c r="E5" s="18"/>
      <c r="F5" s="40" t="s">
        <v>16</v>
      </c>
      <c r="H5" s="81" t="s">
        <v>529</v>
      </c>
      <c r="I5" s="81" t="s">
        <v>530</v>
      </c>
      <c r="J5" s="18"/>
      <c r="K5" s="42" t="s">
        <v>20</v>
      </c>
      <c r="M5" s="82" t="s">
        <v>529</v>
      </c>
      <c r="N5" s="82" t="s">
        <v>530</v>
      </c>
      <c r="O5" s="18"/>
      <c r="P5" s="44" t="s">
        <v>24</v>
      </c>
      <c r="R5" s="83" t="s">
        <v>529</v>
      </c>
      <c r="S5" s="83" t="s">
        <v>530</v>
      </c>
      <c r="T5" s="18"/>
      <c r="U5" s="46" t="s">
        <v>30</v>
      </c>
      <c r="W5" s="84" t="s">
        <v>529</v>
      </c>
      <c r="X5" s="84" t="s">
        <v>530</v>
      </c>
      <c r="Y5" s="18"/>
      <c r="Z5" s="48" t="s">
        <v>35</v>
      </c>
      <c r="AB5" s="85" t="s">
        <v>529</v>
      </c>
      <c r="AC5" s="85" t="s">
        <v>530</v>
      </c>
      <c r="AD5" s="18"/>
      <c r="AE5" s="50" t="s">
        <v>40</v>
      </c>
      <c r="AG5" s="86" t="s">
        <v>529</v>
      </c>
      <c r="AH5" s="86" t="s">
        <v>530</v>
      </c>
      <c r="AI5" s="18"/>
      <c r="AJ5" s="52" t="s">
        <v>45</v>
      </c>
      <c r="AL5" s="87" t="s">
        <v>529</v>
      </c>
      <c r="AM5" s="87" t="s">
        <v>530</v>
      </c>
      <c r="AN5" s="18"/>
      <c r="AO5" s="54" t="s">
        <v>50</v>
      </c>
      <c r="AQ5" s="88" t="s">
        <v>529</v>
      </c>
      <c r="AR5" s="88" t="s">
        <v>530</v>
      </c>
      <c r="AS5" s="18"/>
      <c r="AT5" s="78" t="s">
        <v>53</v>
      </c>
      <c r="AV5" s="89" t="s">
        <v>529</v>
      </c>
      <c r="AW5" s="89" t="s">
        <v>530</v>
      </c>
    </row>
    <row r="6">
      <c r="A6" s="33">
        <v>1.0</v>
      </c>
      <c r="B6" s="17" t="s">
        <v>147</v>
      </c>
      <c r="C6" s="17">
        <v>-7.56607199999999</v>
      </c>
      <c r="D6" s="17">
        <v>110.87161</v>
      </c>
      <c r="E6" s="20"/>
      <c r="F6" s="33">
        <v>1.0</v>
      </c>
      <c r="G6" s="17" t="s">
        <v>147</v>
      </c>
      <c r="H6" s="17">
        <v>-7.56607199999999</v>
      </c>
      <c r="I6" s="17">
        <v>110.87161</v>
      </c>
      <c r="J6" s="20"/>
      <c r="K6" s="33">
        <v>1.0</v>
      </c>
      <c r="L6" s="17" t="s">
        <v>505</v>
      </c>
      <c r="M6" s="17">
        <v>-7.54453</v>
      </c>
      <c r="N6" s="17">
        <v>110.73575</v>
      </c>
      <c r="O6" s="20"/>
      <c r="P6" s="33">
        <v>1.0</v>
      </c>
      <c r="Q6" s="17" t="s">
        <v>183</v>
      </c>
      <c r="R6" s="20">
        <v>-7.5444991</v>
      </c>
      <c r="S6" s="20">
        <v>110.7352918</v>
      </c>
      <c r="T6" s="20"/>
      <c r="U6" s="33">
        <v>1.0</v>
      </c>
      <c r="V6" s="17" t="s">
        <v>183</v>
      </c>
      <c r="W6" s="20">
        <v>-7.5444991</v>
      </c>
      <c r="X6" s="20">
        <v>110.7352918</v>
      </c>
      <c r="Y6" s="20"/>
      <c r="Z6" s="33">
        <v>1.0</v>
      </c>
      <c r="AA6" s="17" t="s">
        <v>372</v>
      </c>
      <c r="AB6" s="17">
        <v>-7.53426999999999</v>
      </c>
      <c r="AC6" s="17">
        <v>110.84764</v>
      </c>
      <c r="AD6" s="20"/>
      <c r="AE6" s="33">
        <v>1.0</v>
      </c>
      <c r="AF6" s="17" t="s">
        <v>372</v>
      </c>
      <c r="AG6" s="17">
        <v>-7.53426999999999</v>
      </c>
      <c r="AH6" s="17">
        <v>110.84764</v>
      </c>
      <c r="AI6" s="20"/>
      <c r="AJ6" s="91">
        <v>1.0</v>
      </c>
      <c r="AK6" s="17" t="s">
        <v>413</v>
      </c>
      <c r="AL6" s="17">
        <v>-7.52598</v>
      </c>
      <c r="AM6" s="17">
        <v>110.81193</v>
      </c>
      <c r="AN6" s="20"/>
      <c r="AO6" s="91">
        <v>1.0</v>
      </c>
      <c r="AP6" s="17" t="s">
        <v>543</v>
      </c>
      <c r="AQ6" s="17">
        <v>-7.57499</v>
      </c>
      <c r="AR6" s="17">
        <v>110.82642</v>
      </c>
      <c r="AS6" s="20"/>
      <c r="AT6" s="33">
        <v>1.0</v>
      </c>
      <c r="AU6" s="17" t="s">
        <v>543</v>
      </c>
      <c r="AV6" s="17">
        <v>-7.57499</v>
      </c>
      <c r="AW6" s="17">
        <v>110.82642</v>
      </c>
    </row>
    <row r="7">
      <c r="A7" s="33">
        <v>2.0</v>
      </c>
      <c r="B7" s="17" t="s">
        <v>148</v>
      </c>
      <c r="C7" s="19" t="s">
        <v>232</v>
      </c>
      <c r="D7" s="19" t="s">
        <v>233</v>
      </c>
      <c r="E7" s="20"/>
      <c r="F7" s="33">
        <v>2.0</v>
      </c>
      <c r="G7" s="17" t="s">
        <v>668</v>
      </c>
      <c r="H7" s="20">
        <v>-7.5682628</v>
      </c>
      <c r="I7" s="20">
        <v>110.8736291</v>
      </c>
      <c r="J7" s="20"/>
      <c r="K7" s="33">
        <v>2.0</v>
      </c>
      <c r="L7" s="17" t="s">
        <v>279</v>
      </c>
      <c r="M7" s="17">
        <v>-7.55037169999999</v>
      </c>
      <c r="N7" s="17">
        <v>110.7367071</v>
      </c>
      <c r="O7" s="20"/>
      <c r="P7" s="33">
        <v>2.0</v>
      </c>
      <c r="Q7" s="17" t="s">
        <v>182</v>
      </c>
      <c r="R7" s="17">
        <v>-7.54548539999999</v>
      </c>
      <c r="S7" s="17">
        <v>110.743239</v>
      </c>
      <c r="T7" s="20"/>
      <c r="U7" s="33">
        <v>2.0</v>
      </c>
      <c r="V7" s="17" t="s">
        <v>182</v>
      </c>
      <c r="W7" s="17">
        <v>-7.54548539999999</v>
      </c>
      <c r="X7" s="17">
        <v>110.743239</v>
      </c>
      <c r="Y7" s="20"/>
      <c r="Z7" s="33">
        <v>2.0</v>
      </c>
      <c r="AA7" s="93" t="s">
        <v>373</v>
      </c>
      <c r="AB7" s="17">
        <v>-7.5359891</v>
      </c>
      <c r="AC7" s="17">
        <v>110.8454378</v>
      </c>
      <c r="AD7" s="20"/>
      <c r="AE7" s="33">
        <v>2.0</v>
      </c>
      <c r="AF7" s="17" t="s">
        <v>549</v>
      </c>
      <c r="AG7" s="17">
        <v>-7.53763249999999</v>
      </c>
      <c r="AH7" s="17">
        <v>110.8473043</v>
      </c>
      <c r="AI7" s="20"/>
      <c r="AJ7" s="33">
        <v>2.0</v>
      </c>
      <c r="AK7" s="17" t="s">
        <v>414</v>
      </c>
      <c r="AL7" s="17">
        <v>-7.5284005</v>
      </c>
      <c r="AM7" s="17">
        <v>110.8130387</v>
      </c>
      <c r="AN7" s="20"/>
      <c r="AO7" s="33">
        <v>2.0</v>
      </c>
      <c r="AP7" s="17" t="s">
        <v>225</v>
      </c>
      <c r="AQ7" s="17">
        <v>-7.57376999999999</v>
      </c>
      <c r="AR7" s="17">
        <v>110.82936</v>
      </c>
      <c r="AS7" s="20"/>
      <c r="AT7" s="33">
        <v>2.0</v>
      </c>
      <c r="AU7" s="17" t="s">
        <v>225</v>
      </c>
      <c r="AV7" s="17">
        <v>-7.57376999999999</v>
      </c>
      <c r="AW7" s="17">
        <v>110.82936</v>
      </c>
    </row>
    <row r="8">
      <c r="A8" s="33">
        <v>3.0</v>
      </c>
      <c r="B8" s="17" t="s">
        <v>149</v>
      </c>
      <c r="C8" s="19" t="s">
        <v>234</v>
      </c>
      <c r="D8" s="19" t="s">
        <v>235</v>
      </c>
      <c r="E8" s="20"/>
      <c r="F8" s="33">
        <v>3.0</v>
      </c>
      <c r="G8" s="17" t="s">
        <v>669</v>
      </c>
      <c r="H8" s="20">
        <v>-7.5682567</v>
      </c>
      <c r="I8" s="20">
        <v>110.8716592</v>
      </c>
      <c r="J8" s="20"/>
      <c r="K8" s="33">
        <v>3.0</v>
      </c>
      <c r="L8" s="17" t="s">
        <v>280</v>
      </c>
      <c r="M8" s="17">
        <v>-7.55169</v>
      </c>
      <c r="N8" s="17">
        <v>110.73637</v>
      </c>
      <c r="O8" s="20"/>
      <c r="P8" s="33">
        <v>3.0</v>
      </c>
      <c r="Q8" s="17" t="s">
        <v>493</v>
      </c>
      <c r="R8" s="17">
        <v>-7.54257149999999</v>
      </c>
      <c r="S8" s="17">
        <v>110.7444229</v>
      </c>
      <c r="T8" s="20"/>
      <c r="U8" s="33">
        <v>3.0</v>
      </c>
      <c r="V8" s="17" t="s">
        <v>493</v>
      </c>
      <c r="W8" s="17">
        <v>-7.54257149999999</v>
      </c>
      <c r="X8" s="17">
        <v>110.7444229</v>
      </c>
      <c r="Y8" s="20"/>
      <c r="Z8" s="33">
        <v>3.0</v>
      </c>
      <c r="AA8" s="93" t="s">
        <v>374</v>
      </c>
      <c r="AB8" s="17">
        <v>-7.53729</v>
      </c>
      <c r="AC8" s="17">
        <v>110.84281</v>
      </c>
      <c r="AD8" s="20"/>
      <c r="AE8" s="91">
        <v>3.0</v>
      </c>
      <c r="AF8" s="17" t="s">
        <v>552</v>
      </c>
      <c r="AG8" s="17">
        <v>-7.5439</v>
      </c>
      <c r="AH8" s="17">
        <v>110.84203</v>
      </c>
      <c r="AI8" s="20"/>
      <c r="AJ8" s="33">
        <v>3.0</v>
      </c>
      <c r="AK8" s="17" t="s">
        <v>415</v>
      </c>
      <c r="AL8" s="17">
        <v>-7.5296961</v>
      </c>
      <c r="AM8" s="17">
        <v>110.8170136</v>
      </c>
      <c r="AN8" s="20"/>
      <c r="AO8" s="33">
        <v>3.0</v>
      </c>
      <c r="AP8" s="17" t="s">
        <v>226</v>
      </c>
      <c r="AQ8" s="17">
        <v>-7.5752054</v>
      </c>
      <c r="AR8" s="17">
        <v>110.8296154</v>
      </c>
      <c r="AS8" s="20"/>
      <c r="AT8" s="33">
        <v>3.0</v>
      </c>
      <c r="AU8" s="17" t="s">
        <v>463</v>
      </c>
      <c r="AV8" s="17">
        <v>-7.562999</v>
      </c>
      <c r="AW8" s="17">
        <v>110.84478</v>
      </c>
    </row>
    <row r="9">
      <c r="A9" s="91">
        <v>4.0</v>
      </c>
      <c r="B9" s="17" t="s">
        <v>150</v>
      </c>
      <c r="C9" s="17">
        <v>-7.56649</v>
      </c>
      <c r="D9" s="17">
        <v>110.86883</v>
      </c>
      <c r="E9" s="20"/>
      <c r="F9" s="33">
        <v>4.0</v>
      </c>
      <c r="G9" s="17" t="s">
        <v>670</v>
      </c>
      <c r="H9" s="20">
        <v>-7.567152</v>
      </c>
      <c r="I9" s="20">
        <v>110.8692467</v>
      </c>
      <c r="J9" s="20"/>
      <c r="K9" s="33">
        <v>4.0</v>
      </c>
      <c r="L9" s="17" t="s">
        <v>281</v>
      </c>
      <c r="M9" s="20">
        <v>-7.551957</v>
      </c>
      <c r="N9" s="20">
        <v>110.7404109</v>
      </c>
      <c r="O9" s="20"/>
      <c r="P9" s="33">
        <v>4.0</v>
      </c>
      <c r="Q9" s="17" t="s">
        <v>185</v>
      </c>
      <c r="R9" s="20">
        <v>-7.6299521</v>
      </c>
      <c r="S9" s="20">
        <v>111.5351936</v>
      </c>
      <c r="T9" s="20"/>
      <c r="U9" s="33">
        <v>4.0</v>
      </c>
      <c r="V9" s="17" t="s">
        <v>185</v>
      </c>
      <c r="W9" s="20">
        <v>-7.6299521</v>
      </c>
      <c r="X9" s="20">
        <v>111.5351936</v>
      </c>
      <c r="Y9" s="20"/>
      <c r="Z9" s="33">
        <v>4.0</v>
      </c>
      <c r="AA9" s="93" t="s">
        <v>375</v>
      </c>
      <c r="AB9" s="17">
        <v>-7.53681999999999</v>
      </c>
      <c r="AC9" s="17">
        <v>110.84076</v>
      </c>
      <c r="AD9" s="20"/>
      <c r="AE9" s="91">
        <v>4.0</v>
      </c>
      <c r="AF9" s="17" t="s">
        <v>554</v>
      </c>
      <c r="AG9" s="17">
        <v>-7.54627</v>
      </c>
      <c r="AH9" s="17">
        <v>110.84139</v>
      </c>
      <c r="AI9" s="20"/>
      <c r="AJ9" s="33">
        <v>4.0</v>
      </c>
      <c r="AK9" s="17" t="s">
        <v>416</v>
      </c>
      <c r="AL9" s="17">
        <v>-7.5327352</v>
      </c>
      <c r="AM9" s="17">
        <v>110.8128067</v>
      </c>
      <c r="AN9" s="20"/>
      <c r="AO9" s="33">
        <v>4.0</v>
      </c>
      <c r="AP9" s="17" t="s">
        <v>227</v>
      </c>
      <c r="AQ9" s="17">
        <v>-7.57607</v>
      </c>
      <c r="AR9" s="17">
        <v>110.82909</v>
      </c>
      <c r="AS9" s="20"/>
      <c r="AT9" s="33">
        <v>4.0</v>
      </c>
      <c r="AU9" s="17" t="s">
        <v>464</v>
      </c>
      <c r="AV9" s="17">
        <v>-7.57368749999999</v>
      </c>
      <c r="AW9" s="17">
        <v>110.8313159</v>
      </c>
    </row>
    <row r="10">
      <c r="A10" s="91">
        <v>5.0</v>
      </c>
      <c r="B10" s="17" t="s">
        <v>151</v>
      </c>
      <c r="C10" s="17">
        <v>-7.56545</v>
      </c>
      <c r="D10" s="17">
        <v>110.86489</v>
      </c>
      <c r="E10" s="20"/>
      <c r="F10" s="33">
        <v>5.0</v>
      </c>
      <c r="G10" s="17" t="s">
        <v>671</v>
      </c>
      <c r="H10" s="20">
        <v>-7.5660787</v>
      </c>
      <c r="I10" s="20">
        <v>110.8645285</v>
      </c>
      <c r="J10" s="20"/>
      <c r="K10" s="33">
        <v>5.0</v>
      </c>
      <c r="L10" s="17" t="s">
        <v>282</v>
      </c>
      <c r="M10" s="17">
        <v>-7.55491</v>
      </c>
      <c r="N10" s="17">
        <v>110.74142</v>
      </c>
      <c r="O10" s="20"/>
      <c r="P10" s="33">
        <v>5.0</v>
      </c>
      <c r="Q10" s="17" t="s">
        <v>186</v>
      </c>
      <c r="R10" s="17">
        <v>-7.53460999999999</v>
      </c>
      <c r="S10" s="17">
        <v>110.74673</v>
      </c>
      <c r="T10" s="20"/>
      <c r="U10" s="33">
        <v>5.0</v>
      </c>
      <c r="V10" s="17" t="s">
        <v>186</v>
      </c>
      <c r="W10" s="17">
        <v>-7.53460999999999</v>
      </c>
      <c r="X10" s="17">
        <v>110.74673</v>
      </c>
      <c r="Y10" s="20"/>
      <c r="Z10" s="60">
        <v>5.0</v>
      </c>
      <c r="AA10" s="93" t="s">
        <v>376</v>
      </c>
      <c r="AB10" s="17">
        <v>-7.53622999999999</v>
      </c>
      <c r="AC10" s="17">
        <v>110.8391</v>
      </c>
      <c r="AD10" s="20"/>
      <c r="AE10" s="33">
        <v>5.0</v>
      </c>
      <c r="AF10" s="17" t="s">
        <v>557</v>
      </c>
      <c r="AG10" s="17">
        <v>-7.55075999999999</v>
      </c>
      <c r="AH10" s="17">
        <v>110.84052</v>
      </c>
      <c r="AI10" s="20"/>
      <c r="AJ10" s="33">
        <v>5.0</v>
      </c>
      <c r="AK10" s="17" t="s">
        <v>417</v>
      </c>
      <c r="AL10" s="17">
        <v>-7.53464</v>
      </c>
      <c r="AM10" s="17">
        <v>110.81287</v>
      </c>
      <c r="AN10" s="20"/>
      <c r="AO10" s="33">
        <v>5.0</v>
      </c>
      <c r="AP10" s="17" t="s">
        <v>434</v>
      </c>
      <c r="AQ10" s="17">
        <v>-7.57682999999999</v>
      </c>
      <c r="AR10" s="17">
        <v>110.83078</v>
      </c>
      <c r="AS10" s="20"/>
      <c r="AT10" s="33">
        <v>5.0</v>
      </c>
      <c r="AU10" s="17" t="s">
        <v>465</v>
      </c>
      <c r="AV10" s="17">
        <v>-7.5734005</v>
      </c>
      <c r="AW10" s="17">
        <v>110.8334058</v>
      </c>
    </row>
    <row r="11">
      <c r="A11" s="33">
        <v>6.0</v>
      </c>
      <c r="B11" s="17" t="s">
        <v>152</v>
      </c>
      <c r="C11" s="17">
        <v>-7.56387999999999</v>
      </c>
      <c r="D11" s="17">
        <v>110.6196629</v>
      </c>
      <c r="E11" s="20"/>
      <c r="F11" s="94">
        <v>6.0</v>
      </c>
      <c r="G11" s="95" t="s">
        <v>672</v>
      </c>
      <c r="H11" s="20">
        <v>-7.566273</v>
      </c>
      <c r="I11" s="20">
        <v>110.8632528</v>
      </c>
      <c r="J11" s="20"/>
      <c r="K11" s="91">
        <v>6.0</v>
      </c>
      <c r="L11" s="17" t="s">
        <v>283</v>
      </c>
      <c r="M11" s="17">
        <v>-7.55676</v>
      </c>
      <c r="N11" s="17">
        <v>110.74478</v>
      </c>
      <c r="O11" s="20"/>
      <c r="P11" s="33">
        <v>6.0</v>
      </c>
      <c r="Q11" s="17" t="s">
        <v>560</v>
      </c>
      <c r="R11" s="17">
        <v>-7.53224349999999</v>
      </c>
      <c r="S11" s="17">
        <v>110.7473305</v>
      </c>
      <c r="T11" s="20"/>
      <c r="U11" s="33">
        <v>6.0</v>
      </c>
      <c r="V11" s="17" t="s">
        <v>187</v>
      </c>
      <c r="W11" s="17">
        <v>-7.53182749999999</v>
      </c>
      <c r="X11" s="17">
        <v>110.7472589</v>
      </c>
      <c r="Y11" s="20"/>
      <c r="Z11" s="33">
        <v>6.0</v>
      </c>
      <c r="AA11" s="93" t="s">
        <v>377</v>
      </c>
      <c r="AB11" s="17">
        <v>-7.53564999999999</v>
      </c>
      <c r="AC11" s="17">
        <v>110.83737</v>
      </c>
      <c r="AD11" s="20"/>
      <c r="AE11" s="33">
        <v>6.0</v>
      </c>
      <c r="AF11" s="17" t="s">
        <v>563</v>
      </c>
      <c r="AG11" s="17">
        <v>-7.55221</v>
      </c>
      <c r="AH11" s="17">
        <v>110.84021</v>
      </c>
      <c r="AI11" s="20"/>
      <c r="AJ11" s="33">
        <v>6.0</v>
      </c>
      <c r="AK11" s="17" t="s">
        <v>418</v>
      </c>
      <c r="AL11" s="17">
        <v>-7.53893</v>
      </c>
      <c r="AM11" s="17">
        <v>110.81225</v>
      </c>
      <c r="AN11" s="20"/>
      <c r="AO11" s="33">
        <v>6.0</v>
      </c>
      <c r="AP11" s="17" t="s">
        <v>435</v>
      </c>
      <c r="AQ11" s="17">
        <v>-7.57874999999999</v>
      </c>
      <c r="AR11" s="17">
        <v>110.83151</v>
      </c>
      <c r="AS11" s="20"/>
      <c r="AT11" s="33">
        <v>6.0</v>
      </c>
      <c r="AU11" s="17" t="s">
        <v>466</v>
      </c>
      <c r="AV11" s="17">
        <v>-7.57186</v>
      </c>
      <c r="AW11" s="17">
        <v>110.83301</v>
      </c>
    </row>
    <row r="12">
      <c r="A12" s="33">
        <v>7.0</v>
      </c>
      <c r="B12" s="17" t="s">
        <v>153</v>
      </c>
      <c r="C12" s="17">
        <v>-7.56495</v>
      </c>
      <c r="D12" s="17">
        <v>110.85681</v>
      </c>
      <c r="E12" s="20"/>
      <c r="F12" s="33">
        <v>7.0</v>
      </c>
      <c r="G12" s="17" t="s">
        <v>673</v>
      </c>
      <c r="H12" s="20">
        <v>-7.5656964</v>
      </c>
      <c r="I12" s="20">
        <v>110.8586469</v>
      </c>
      <c r="J12" s="20"/>
      <c r="K12" s="91">
        <v>7.0</v>
      </c>
      <c r="L12" s="17" t="s">
        <v>284</v>
      </c>
      <c r="M12" s="17">
        <v>-7.55885</v>
      </c>
      <c r="N12" s="17">
        <v>110.74826</v>
      </c>
      <c r="O12" s="20"/>
      <c r="P12" s="33">
        <v>7.0</v>
      </c>
      <c r="Q12" s="17" t="s">
        <v>565</v>
      </c>
      <c r="R12" s="17">
        <v>-7.5332856</v>
      </c>
      <c r="S12" s="17">
        <v>110.7521496</v>
      </c>
      <c r="T12" s="20"/>
      <c r="U12" s="33">
        <v>7.0</v>
      </c>
      <c r="V12" s="17" t="s">
        <v>338</v>
      </c>
      <c r="W12" s="17">
        <v>-7.52989</v>
      </c>
      <c r="X12" s="17">
        <v>110.75125</v>
      </c>
      <c r="Y12" s="20"/>
      <c r="Z12" s="33">
        <v>7.0</v>
      </c>
      <c r="AA12" s="93" t="s">
        <v>378</v>
      </c>
      <c r="AB12" s="17">
        <v>-7.5369588</v>
      </c>
      <c r="AC12" s="17">
        <v>110.8370794</v>
      </c>
      <c r="AD12" s="20"/>
      <c r="AE12" s="91">
        <v>7.0</v>
      </c>
      <c r="AF12" s="17" t="s">
        <v>567</v>
      </c>
      <c r="AG12" s="17">
        <v>-7.5537</v>
      </c>
      <c r="AH12" s="17">
        <v>110.83924</v>
      </c>
      <c r="AI12" s="20"/>
      <c r="AJ12" s="91">
        <v>7.0</v>
      </c>
      <c r="AK12" s="17" t="s">
        <v>419</v>
      </c>
      <c r="AL12" s="17">
        <v>-7.5408</v>
      </c>
      <c r="AM12" s="17">
        <v>110.81279</v>
      </c>
      <c r="AN12" s="20"/>
      <c r="AO12" s="33">
        <v>7.0</v>
      </c>
      <c r="AP12" s="90" t="s">
        <v>436</v>
      </c>
      <c r="AQ12" s="17">
        <v>-7.5817821</v>
      </c>
      <c r="AR12" s="17">
        <v>110.8314041</v>
      </c>
      <c r="AS12" s="20"/>
      <c r="AT12" s="60">
        <v>7.0</v>
      </c>
      <c r="AU12" s="17" t="s">
        <v>467</v>
      </c>
      <c r="AV12" s="17">
        <v>-7.57092</v>
      </c>
      <c r="AW12" s="17">
        <v>110.83065</v>
      </c>
    </row>
    <row r="13">
      <c r="A13" s="33">
        <v>8.0</v>
      </c>
      <c r="B13" s="17" t="s">
        <v>154</v>
      </c>
      <c r="C13" s="17">
        <v>-7.5594886</v>
      </c>
      <c r="D13" s="17">
        <v>110.8563295</v>
      </c>
      <c r="E13" s="20"/>
      <c r="F13" s="33">
        <v>8.0</v>
      </c>
      <c r="G13" s="17" t="s">
        <v>674</v>
      </c>
      <c r="H13" s="20">
        <v>-7.56494</v>
      </c>
      <c r="I13" s="20">
        <v>110.8568032</v>
      </c>
      <c r="J13" s="20"/>
      <c r="K13" s="91">
        <v>8.0</v>
      </c>
      <c r="L13" s="17" t="s">
        <v>285</v>
      </c>
      <c r="M13" s="17">
        <v>-7.56105</v>
      </c>
      <c r="N13" s="17">
        <v>110.75486</v>
      </c>
      <c r="O13" s="20"/>
      <c r="P13" s="33">
        <v>8.0</v>
      </c>
      <c r="Q13" s="17" t="s">
        <v>570</v>
      </c>
      <c r="R13" s="17">
        <v>-7.53517419999999</v>
      </c>
      <c r="S13" s="17">
        <v>110.7549059</v>
      </c>
      <c r="T13" s="20"/>
      <c r="U13" s="91">
        <v>8.0</v>
      </c>
      <c r="V13" s="17" t="s">
        <v>339</v>
      </c>
      <c r="W13" s="17">
        <v>-7.53033</v>
      </c>
      <c r="X13" s="17">
        <v>119.75564</v>
      </c>
      <c r="Y13" s="20"/>
      <c r="Z13" s="33">
        <v>8.0</v>
      </c>
      <c r="AA13" s="93" t="s">
        <v>379</v>
      </c>
      <c r="AB13" s="17">
        <v>-7.5398062</v>
      </c>
      <c r="AC13" s="17">
        <v>110.8364925</v>
      </c>
      <c r="AD13" s="20"/>
      <c r="AE13" s="33">
        <v>8.0</v>
      </c>
      <c r="AF13" s="17" t="s">
        <v>572</v>
      </c>
      <c r="AG13" s="17">
        <v>-7.55622999999999</v>
      </c>
      <c r="AH13" s="17">
        <v>110.83846</v>
      </c>
      <c r="AI13" s="20"/>
      <c r="AJ13" s="33">
        <v>8.0</v>
      </c>
      <c r="AK13" s="17" t="s">
        <v>420</v>
      </c>
      <c r="AL13" s="17">
        <v>-7.54238</v>
      </c>
      <c r="AM13" s="17">
        <v>110.8127</v>
      </c>
      <c r="AN13" s="20"/>
      <c r="AO13" s="33">
        <v>8.0</v>
      </c>
      <c r="AP13" s="17" t="s">
        <v>437</v>
      </c>
      <c r="AQ13" s="17">
        <v>-7.58285</v>
      </c>
      <c r="AR13" s="17">
        <v>110.82998</v>
      </c>
      <c r="AS13" s="20"/>
      <c r="AT13" s="33">
        <v>8.0</v>
      </c>
      <c r="AU13" s="17" t="s">
        <v>675</v>
      </c>
      <c r="AV13" s="17">
        <v>-7.57110669999999</v>
      </c>
      <c r="AW13" s="17">
        <v>110.8294726</v>
      </c>
    </row>
    <row r="14">
      <c r="A14" s="91">
        <v>9.0</v>
      </c>
      <c r="B14" s="17" t="s">
        <v>155</v>
      </c>
      <c r="C14" s="17">
        <v>-7.56365</v>
      </c>
      <c r="D14" s="17">
        <v>110.85256</v>
      </c>
      <c r="E14" s="20"/>
      <c r="F14" s="33">
        <v>9.0</v>
      </c>
      <c r="G14" s="17" t="s">
        <v>676</v>
      </c>
      <c r="H14" s="20">
        <v>-7.5643634</v>
      </c>
      <c r="I14" s="20">
        <v>110.855116</v>
      </c>
      <c r="J14" s="20"/>
      <c r="K14" s="33">
        <v>9.0</v>
      </c>
      <c r="L14" s="17" t="s">
        <v>286</v>
      </c>
      <c r="M14" s="17">
        <v>-7.56208</v>
      </c>
      <c r="N14" s="17">
        <v>110.75799</v>
      </c>
      <c r="O14" s="20"/>
      <c r="P14" s="33">
        <v>9.0</v>
      </c>
      <c r="Q14" s="17" t="s">
        <v>576</v>
      </c>
      <c r="R14" s="20">
        <v>-7.5373049</v>
      </c>
      <c r="S14" s="20">
        <v>110.7578896</v>
      </c>
      <c r="T14" s="20"/>
      <c r="U14" s="33">
        <v>9.0</v>
      </c>
      <c r="V14" s="17" t="s">
        <v>340</v>
      </c>
      <c r="W14" s="17">
        <v>-7.53108999999999</v>
      </c>
      <c r="X14" s="17">
        <v>110.75853</v>
      </c>
      <c r="Y14" s="20"/>
      <c r="Z14" s="33">
        <v>9.0</v>
      </c>
      <c r="AA14" s="93" t="s">
        <v>380</v>
      </c>
      <c r="AB14" s="17">
        <v>-7.5268371</v>
      </c>
      <c r="AC14" s="17">
        <v>110.8238804</v>
      </c>
      <c r="AD14" s="20"/>
      <c r="AE14" s="33">
        <v>9.0</v>
      </c>
      <c r="AF14" s="17" t="s">
        <v>578</v>
      </c>
      <c r="AG14" s="17">
        <v>-7.55991199999999</v>
      </c>
      <c r="AH14" s="17">
        <v>110.838502</v>
      </c>
      <c r="AI14" s="20"/>
      <c r="AJ14" s="33">
        <v>9.0</v>
      </c>
      <c r="AK14" s="17" t="s">
        <v>421</v>
      </c>
      <c r="AL14" s="17">
        <v>-7.54238</v>
      </c>
      <c r="AM14" s="17">
        <v>110.81505</v>
      </c>
      <c r="AN14" s="20"/>
      <c r="AO14" s="91">
        <v>9.0</v>
      </c>
      <c r="AP14" s="17" t="s">
        <v>215</v>
      </c>
      <c r="AQ14" s="17">
        <v>-7.58456</v>
      </c>
      <c r="AR14" s="17">
        <v>110.82875</v>
      </c>
      <c r="AS14" s="20"/>
      <c r="AT14" s="33">
        <v>9.0</v>
      </c>
      <c r="AU14" s="17" t="s">
        <v>171</v>
      </c>
      <c r="AV14" s="17">
        <v>-7.5694476</v>
      </c>
      <c r="AW14" s="17">
        <v>110.829594</v>
      </c>
    </row>
    <row r="15">
      <c r="A15" s="33">
        <v>10.0</v>
      </c>
      <c r="B15" s="17" t="s">
        <v>156</v>
      </c>
      <c r="C15" s="17">
        <v>-7.5614</v>
      </c>
      <c r="D15" s="17">
        <v>110.84922</v>
      </c>
      <c r="E15" s="20"/>
      <c r="F15" s="33">
        <v>10.0</v>
      </c>
      <c r="G15" s="17" t="s">
        <v>677</v>
      </c>
      <c r="H15" s="20">
        <v>-7.5638249</v>
      </c>
      <c r="I15" s="20">
        <v>110.8522496</v>
      </c>
      <c r="J15" s="20"/>
      <c r="K15" s="33">
        <v>10.0</v>
      </c>
      <c r="L15" s="17" t="s">
        <v>287</v>
      </c>
      <c r="M15" s="17">
        <v>-7.56331</v>
      </c>
      <c r="N15" s="17">
        <v>110.76157</v>
      </c>
      <c r="O15" s="20"/>
      <c r="P15" s="96">
        <v>10.0</v>
      </c>
      <c r="Q15" s="17" t="s">
        <v>678</v>
      </c>
      <c r="R15" s="17">
        <v>-7.5379275</v>
      </c>
      <c r="S15" s="17">
        <v>110.7599966</v>
      </c>
      <c r="T15" s="20"/>
      <c r="U15" s="33">
        <v>10.0</v>
      </c>
      <c r="V15" s="17" t="s">
        <v>341</v>
      </c>
      <c r="W15" s="17">
        <v>-7.53007659999999</v>
      </c>
      <c r="X15" s="17">
        <v>110.7618114</v>
      </c>
      <c r="Y15" s="20"/>
      <c r="Z15" s="60">
        <v>10.0</v>
      </c>
      <c r="AA15" s="93" t="s">
        <v>381</v>
      </c>
      <c r="AB15" s="17">
        <v>-7.54788999999999</v>
      </c>
      <c r="AC15" s="17">
        <v>110.83053</v>
      </c>
      <c r="AD15" s="20"/>
      <c r="AE15" s="91">
        <v>10.0</v>
      </c>
      <c r="AF15" s="17" t="s">
        <v>188</v>
      </c>
      <c r="AG15" s="17">
        <v>-7.55937</v>
      </c>
      <c r="AH15" s="17">
        <v>110.83559</v>
      </c>
      <c r="AI15" s="20"/>
      <c r="AJ15" s="33">
        <v>10.0</v>
      </c>
      <c r="AK15" s="17" t="s">
        <v>422</v>
      </c>
      <c r="AL15" s="17">
        <v>-7.5470739</v>
      </c>
      <c r="AM15" s="17">
        <v>110.821048</v>
      </c>
      <c r="AN15" s="20"/>
      <c r="AO15" s="33">
        <v>10.0</v>
      </c>
      <c r="AP15" s="17" t="s">
        <v>214</v>
      </c>
      <c r="AQ15" s="17">
        <v>-7.58356249999999</v>
      </c>
      <c r="AR15" s="17">
        <v>110.8263556</v>
      </c>
      <c r="AS15" s="20"/>
      <c r="AT15" s="33">
        <v>10.0</v>
      </c>
      <c r="AU15" s="17" t="s">
        <v>522</v>
      </c>
      <c r="AV15" s="17">
        <v>-7.569377</v>
      </c>
      <c r="AW15" s="17">
        <v>110.8315563</v>
      </c>
    </row>
    <row r="16">
      <c r="A16" s="33">
        <v>11.0</v>
      </c>
      <c r="B16" s="17" t="s">
        <v>157</v>
      </c>
      <c r="C16" s="17">
        <v>-7.55856</v>
      </c>
      <c r="D16" s="17">
        <v>110.84812</v>
      </c>
      <c r="E16" s="20"/>
      <c r="F16" s="33">
        <v>11.0</v>
      </c>
      <c r="G16" s="17" t="s">
        <v>679</v>
      </c>
      <c r="H16" s="20">
        <v>-7.5613985</v>
      </c>
      <c r="I16" s="20">
        <v>110.8492272</v>
      </c>
      <c r="J16" s="20"/>
      <c r="K16" s="91">
        <v>11.0</v>
      </c>
      <c r="L16" s="17" t="s">
        <v>288</v>
      </c>
      <c r="M16" s="17">
        <v>-7.56409</v>
      </c>
      <c r="N16" s="17">
        <v>110.76441</v>
      </c>
      <c r="O16" s="20"/>
      <c r="P16" s="91">
        <v>11.0</v>
      </c>
      <c r="Q16" s="17" t="s">
        <v>680</v>
      </c>
      <c r="R16" s="17">
        <v>-7.53961</v>
      </c>
      <c r="S16" s="17">
        <v>110.76249</v>
      </c>
      <c r="T16" s="20"/>
      <c r="U16" s="91">
        <v>11.0</v>
      </c>
      <c r="V16" s="17" t="s">
        <v>342</v>
      </c>
      <c r="W16" s="17">
        <v>-7.53252</v>
      </c>
      <c r="X16" s="17">
        <v>110.76544</v>
      </c>
      <c r="Y16" s="20"/>
      <c r="Z16" s="33">
        <v>11.0</v>
      </c>
      <c r="AA16" s="23" t="s">
        <v>681</v>
      </c>
      <c r="AB16" s="24">
        <v>-7.5502049</v>
      </c>
      <c r="AC16" s="24">
        <v>110.8301422</v>
      </c>
      <c r="AD16" s="20"/>
      <c r="AE16" s="33">
        <v>11.0</v>
      </c>
      <c r="AF16" s="17" t="s">
        <v>189</v>
      </c>
      <c r="AG16" s="17">
        <v>-7.55907</v>
      </c>
      <c r="AH16" s="17">
        <v>110.83246</v>
      </c>
      <c r="AI16" s="20"/>
      <c r="AJ16" s="33">
        <v>11.0</v>
      </c>
      <c r="AK16" s="17" t="s">
        <v>423</v>
      </c>
      <c r="AL16" s="17">
        <v>-7.551</v>
      </c>
      <c r="AM16" s="17">
        <v>110.82199</v>
      </c>
      <c r="AN16" s="20"/>
      <c r="AO16" s="33">
        <v>11.0</v>
      </c>
      <c r="AP16" s="17" t="s">
        <v>438</v>
      </c>
      <c r="AQ16" s="17">
        <v>-7.58495</v>
      </c>
      <c r="AR16" s="17">
        <v>110.82536</v>
      </c>
      <c r="AS16" s="20"/>
      <c r="AT16" s="33">
        <v>11.0</v>
      </c>
      <c r="AU16" s="17" t="s">
        <v>523</v>
      </c>
      <c r="AV16" s="17">
        <v>-7.56717999999999</v>
      </c>
      <c r="AW16" s="17">
        <v>110.83263</v>
      </c>
    </row>
    <row r="17">
      <c r="A17" s="33">
        <v>12.0</v>
      </c>
      <c r="B17" s="17" t="s">
        <v>487</v>
      </c>
      <c r="C17" s="17">
        <v>-7.558082</v>
      </c>
      <c r="D17" s="17">
        <v>110.8464</v>
      </c>
      <c r="E17" s="17"/>
      <c r="F17" s="33">
        <v>12.0</v>
      </c>
      <c r="G17" s="17" t="s">
        <v>585</v>
      </c>
      <c r="H17" s="17">
        <v>-7.55856</v>
      </c>
      <c r="I17" s="17">
        <v>110.84812</v>
      </c>
      <c r="J17" s="20"/>
      <c r="K17" s="33">
        <v>12.0</v>
      </c>
      <c r="L17" s="17" t="s">
        <v>289</v>
      </c>
      <c r="M17" s="17">
        <v>-7.56503999999999</v>
      </c>
      <c r="N17" s="17">
        <v>110.76733</v>
      </c>
      <c r="O17" s="20"/>
      <c r="P17" s="33">
        <v>12.0</v>
      </c>
      <c r="Q17" s="17" t="s">
        <v>682</v>
      </c>
      <c r="R17" s="17">
        <v>-7.54152599999999</v>
      </c>
      <c r="S17" s="17">
        <v>110.766359</v>
      </c>
      <c r="U17" s="33">
        <v>12.0</v>
      </c>
      <c r="V17" s="17" t="s">
        <v>343</v>
      </c>
      <c r="W17" s="17">
        <v>-7.53270999999999</v>
      </c>
      <c r="X17" s="17">
        <v>110.76873</v>
      </c>
      <c r="Y17" s="20"/>
      <c r="Z17" s="33">
        <v>12.0</v>
      </c>
      <c r="AA17" s="90" t="s">
        <v>383</v>
      </c>
      <c r="AB17" s="17">
        <v>-7.55248119999999</v>
      </c>
      <c r="AC17" s="17">
        <v>110.8294831</v>
      </c>
      <c r="AD17" s="20"/>
      <c r="AE17" s="33">
        <v>12.0</v>
      </c>
      <c r="AF17" s="17" t="s">
        <v>190</v>
      </c>
      <c r="AG17" s="17">
        <v>-7.5588525</v>
      </c>
      <c r="AH17" s="17">
        <v>110.8302689</v>
      </c>
      <c r="AI17" s="20"/>
      <c r="AJ17" s="33">
        <v>12.0</v>
      </c>
      <c r="AK17" s="17" t="s">
        <v>211</v>
      </c>
      <c r="AL17" s="17">
        <v>-7.55188679999999</v>
      </c>
      <c r="AM17" s="17">
        <v>110.8195409</v>
      </c>
      <c r="AN17" s="20"/>
      <c r="AO17" s="33">
        <v>12.0</v>
      </c>
      <c r="AP17" s="17" t="s">
        <v>439</v>
      </c>
      <c r="AQ17" s="17">
        <v>-7.58923</v>
      </c>
      <c r="AR17" s="17">
        <v>110.82371</v>
      </c>
      <c r="AS17" s="20"/>
      <c r="AT17" s="33">
        <v>12.0</v>
      </c>
      <c r="AU17" s="17" t="s">
        <v>588</v>
      </c>
      <c r="AV17" s="17">
        <v>-7.56678179999999</v>
      </c>
      <c r="AW17" s="17">
        <v>110.8347257</v>
      </c>
    </row>
    <row r="18">
      <c r="A18" s="33">
        <v>13.0</v>
      </c>
      <c r="B18" s="17" t="s">
        <v>66</v>
      </c>
      <c r="C18" s="17">
        <v>-7.559202</v>
      </c>
      <c r="D18" s="17">
        <v>110.84381</v>
      </c>
      <c r="E18" s="17"/>
      <c r="F18" s="33">
        <v>13.0</v>
      </c>
      <c r="G18" s="17" t="s">
        <v>683</v>
      </c>
      <c r="H18" s="17">
        <v>-7.558082</v>
      </c>
      <c r="I18" s="17">
        <v>110.8464</v>
      </c>
      <c r="J18" s="20"/>
      <c r="K18" s="33">
        <v>13.0</v>
      </c>
      <c r="L18" s="17" t="s">
        <v>290</v>
      </c>
      <c r="M18" s="17">
        <v>-7.56593999999999</v>
      </c>
      <c r="N18" s="17">
        <v>110.7718</v>
      </c>
      <c r="O18" s="20"/>
      <c r="P18" s="33">
        <v>13.0</v>
      </c>
      <c r="Q18" s="17" t="s">
        <v>684</v>
      </c>
      <c r="R18" s="20">
        <v>-7.5429682</v>
      </c>
      <c r="S18" s="17">
        <v>110.76914</v>
      </c>
      <c r="T18" s="20"/>
      <c r="U18" s="91">
        <v>13.0</v>
      </c>
      <c r="V18" s="17" t="s">
        <v>344</v>
      </c>
      <c r="W18" s="17">
        <v>-7.53353</v>
      </c>
      <c r="X18" s="17">
        <v>110.7718</v>
      </c>
      <c r="Y18" s="20"/>
      <c r="Z18" s="33">
        <v>13.0</v>
      </c>
      <c r="AA18" s="90" t="s">
        <v>384</v>
      </c>
      <c r="AB18" s="17">
        <v>-7.5549</v>
      </c>
      <c r="AC18" s="17">
        <v>110.8293</v>
      </c>
      <c r="AD18" s="20"/>
      <c r="AE18" s="33">
        <v>13.0</v>
      </c>
      <c r="AF18" s="17" t="s">
        <v>685</v>
      </c>
      <c r="AG18" s="17">
        <v>-7.55898</v>
      </c>
      <c r="AH18" s="17">
        <v>110.82847</v>
      </c>
      <c r="AI18" s="20"/>
      <c r="AJ18" s="33">
        <v>13.0</v>
      </c>
      <c r="AK18" s="17" t="s">
        <v>424</v>
      </c>
      <c r="AL18" s="17">
        <v>-7.55298999999999</v>
      </c>
      <c r="AM18" s="17">
        <v>110.82264</v>
      </c>
      <c r="AN18" s="20"/>
      <c r="AO18" s="33">
        <v>13.0</v>
      </c>
      <c r="AP18" s="17" t="s">
        <v>440</v>
      </c>
      <c r="AQ18" s="17">
        <v>-7.58866</v>
      </c>
      <c r="AR18" s="17">
        <v>110.8203</v>
      </c>
      <c r="AS18" s="20"/>
      <c r="AT18" s="33">
        <v>13.0</v>
      </c>
      <c r="AU18" s="17" t="s">
        <v>594</v>
      </c>
      <c r="AV18" s="17">
        <v>-7.56761789999999</v>
      </c>
      <c r="AW18" s="17">
        <v>110.8363499</v>
      </c>
    </row>
    <row r="19">
      <c r="A19" s="33">
        <v>14.0</v>
      </c>
      <c r="B19" s="17" t="s">
        <v>67</v>
      </c>
      <c r="C19" s="17">
        <v>-7.55870479999999</v>
      </c>
      <c r="D19" s="17">
        <v>110.8418721</v>
      </c>
      <c r="E19" s="20"/>
      <c r="F19" s="33">
        <v>14.0</v>
      </c>
      <c r="G19" s="17" t="s">
        <v>501</v>
      </c>
      <c r="H19" s="17">
        <v>-7.559202</v>
      </c>
      <c r="I19" s="17">
        <v>110.84381</v>
      </c>
      <c r="J19" s="20"/>
      <c r="K19" s="33">
        <v>14.0</v>
      </c>
      <c r="L19" s="17" t="s">
        <v>291</v>
      </c>
      <c r="M19" s="17">
        <v>-7.5649801</v>
      </c>
      <c r="N19" s="17">
        <v>110.7735773</v>
      </c>
      <c r="O19" s="20"/>
      <c r="P19" s="91">
        <v>14.0</v>
      </c>
      <c r="Q19" s="17" t="s">
        <v>686</v>
      </c>
      <c r="R19" s="17">
        <v>-7.54389</v>
      </c>
      <c r="S19" s="17">
        <v>110.7715</v>
      </c>
      <c r="T19" s="20"/>
      <c r="U19" s="33">
        <v>14.0</v>
      </c>
      <c r="V19" s="17" t="s">
        <v>345</v>
      </c>
      <c r="W19" s="17">
        <v>-7.5340888</v>
      </c>
      <c r="X19" s="17">
        <v>110.7760432</v>
      </c>
      <c r="Y19" s="20"/>
      <c r="Z19" s="33">
        <v>14.0</v>
      </c>
      <c r="AA19" s="23" t="s">
        <v>685</v>
      </c>
      <c r="AB19" s="24">
        <v>-7.55898</v>
      </c>
      <c r="AC19" s="24">
        <v>110.82847</v>
      </c>
      <c r="AD19" s="20"/>
      <c r="AE19" s="33">
        <v>14.0</v>
      </c>
      <c r="AF19" s="17" t="s">
        <v>687</v>
      </c>
      <c r="AG19" s="17">
        <v>-7.56025859999999</v>
      </c>
      <c r="AH19" s="17">
        <v>110.8285074</v>
      </c>
      <c r="AI19" s="20"/>
      <c r="AJ19" s="33">
        <v>14.0</v>
      </c>
      <c r="AK19" s="17" t="s">
        <v>425</v>
      </c>
      <c r="AL19" s="17">
        <v>-7.5917899</v>
      </c>
      <c r="AM19" s="17">
        <v>110.8337084</v>
      </c>
      <c r="AN19" s="20"/>
      <c r="AO19" s="33">
        <v>14.0</v>
      </c>
      <c r="AP19" s="17" t="s">
        <v>441</v>
      </c>
      <c r="AQ19" s="17">
        <v>-7.58496999999999</v>
      </c>
      <c r="AR19" s="17">
        <v>110.81601</v>
      </c>
      <c r="AS19" s="20"/>
      <c r="AT19" s="33">
        <v>14.0</v>
      </c>
      <c r="AU19" s="17" t="s">
        <v>600</v>
      </c>
      <c r="AV19" s="17">
        <v>-7.5666989</v>
      </c>
      <c r="AW19" s="17">
        <v>110.8387806</v>
      </c>
    </row>
    <row r="20">
      <c r="A20" s="33">
        <v>15.0</v>
      </c>
      <c r="B20" s="17" t="s">
        <v>69</v>
      </c>
      <c r="C20" s="17">
        <v>-7.5602845</v>
      </c>
      <c r="D20" s="17">
        <v>110.8402108</v>
      </c>
      <c r="E20" s="20"/>
      <c r="F20" s="33">
        <v>15.0</v>
      </c>
      <c r="G20" s="17" t="s">
        <v>502</v>
      </c>
      <c r="H20" s="17">
        <v>-7.55870479999999</v>
      </c>
      <c r="I20" s="17">
        <v>110.8418721</v>
      </c>
      <c r="J20" s="20"/>
      <c r="K20" s="33">
        <v>15.0</v>
      </c>
      <c r="L20" s="17" t="s">
        <v>292</v>
      </c>
      <c r="M20" s="17">
        <v>-7.56279839999999</v>
      </c>
      <c r="N20" s="17">
        <v>110.774827</v>
      </c>
      <c r="O20" s="20"/>
      <c r="P20" s="33">
        <v>15.0</v>
      </c>
      <c r="Q20" s="17" t="s">
        <v>688</v>
      </c>
      <c r="R20" s="17">
        <v>-7.5449034</v>
      </c>
      <c r="S20" s="17">
        <v>110.7746072</v>
      </c>
      <c r="T20" s="20"/>
      <c r="U20" s="33">
        <v>15.0</v>
      </c>
      <c r="V20" s="17" t="s">
        <v>346</v>
      </c>
      <c r="W20" s="17">
        <v>-7.533719</v>
      </c>
      <c r="X20" s="17">
        <v>110.7180361</v>
      </c>
      <c r="Y20" s="20"/>
      <c r="Z20" s="60">
        <v>15.0</v>
      </c>
      <c r="AA20" s="23" t="s">
        <v>689</v>
      </c>
      <c r="AB20" s="24">
        <v>-7.56050599999999</v>
      </c>
      <c r="AC20" s="24">
        <v>110.828336</v>
      </c>
      <c r="AD20" s="20"/>
      <c r="AE20" s="91">
        <v>15.0</v>
      </c>
      <c r="AF20" s="17" t="s">
        <v>602</v>
      </c>
      <c r="AG20" s="17">
        <v>-7.56089</v>
      </c>
      <c r="AH20" s="17">
        <v>110.82831</v>
      </c>
      <c r="AI20" s="20"/>
      <c r="AJ20" s="33">
        <v>15.0</v>
      </c>
      <c r="AK20" s="17" t="s">
        <v>426</v>
      </c>
      <c r="AL20" s="17">
        <v>-7.55783859999999</v>
      </c>
      <c r="AM20" s="17">
        <v>110.8249888</v>
      </c>
      <c r="AN20" s="20"/>
      <c r="AO20" s="33">
        <v>15.0</v>
      </c>
      <c r="AP20" s="17" t="s">
        <v>442</v>
      </c>
      <c r="AQ20" s="17">
        <v>-7.58168</v>
      </c>
      <c r="AR20" s="17">
        <v>110.81775</v>
      </c>
      <c r="AS20" s="20"/>
      <c r="AT20" s="33">
        <v>15.0</v>
      </c>
      <c r="AU20" s="17" t="s">
        <v>603</v>
      </c>
      <c r="AV20" s="17">
        <v>-7.56534999999999</v>
      </c>
      <c r="AW20" s="17">
        <v>110.84096</v>
      </c>
    </row>
    <row r="21">
      <c r="A21" s="33">
        <v>16.0</v>
      </c>
      <c r="B21" s="17" t="s">
        <v>165</v>
      </c>
      <c r="C21" s="17">
        <v>-7.55971</v>
      </c>
      <c r="D21" s="17">
        <v>110.83843</v>
      </c>
      <c r="E21" s="20"/>
      <c r="F21" s="33">
        <v>16.0</v>
      </c>
      <c r="G21" s="17" t="s">
        <v>503</v>
      </c>
      <c r="H21" s="17">
        <v>-7.5602845</v>
      </c>
      <c r="I21" s="17">
        <v>110.8402108</v>
      </c>
      <c r="J21" s="20"/>
      <c r="K21" s="33">
        <v>16.0</v>
      </c>
      <c r="L21" s="17" t="s">
        <v>293</v>
      </c>
      <c r="M21" s="20">
        <v>-7.5676663</v>
      </c>
      <c r="N21" s="20">
        <v>110.7838034</v>
      </c>
      <c r="O21" s="20"/>
      <c r="P21" s="91">
        <v>16.0</v>
      </c>
      <c r="Q21" s="17" t="s">
        <v>605</v>
      </c>
      <c r="R21" s="17">
        <v>-7.54709</v>
      </c>
      <c r="S21" s="17">
        <v>110.7795</v>
      </c>
      <c r="T21" s="20"/>
      <c r="U21" s="33">
        <v>16.0</v>
      </c>
      <c r="V21" s="17" t="s">
        <v>347</v>
      </c>
      <c r="W21" s="17">
        <v>-7.53498999999999</v>
      </c>
      <c r="X21" s="17">
        <v>110.7941977</v>
      </c>
      <c r="Y21" s="20"/>
      <c r="Z21" s="91">
        <v>16.0</v>
      </c>
      <c r="AA21" s="28" t="s">
        <v>690</v>
      </c>
      <c r="AB21" s="24">
        <v>-7.56089</v>
      </c>
      <c r="AC21" s="24">
        <v>110.82831</v>
      </c>
      <c r="AD21" s="20"/>
      <c r="AE21" s="33">
        <v>16.0</v>
      </c>
      <c r="AF21" s="17" t="s">
        <v>89</v>
      </c>
      <c r="AG21" s="17">
        <v>-7.56246</v>
      </c>
      <c r="AH21" s="17">
        <v>110.82638</v>
      </c>
      <c r="AI21" s="20"/>
      <c r="AJ21" s="33">
        <v>16.0</v>
      </c>
      <c r="AK21" s="17" t="s">
        <v>427</v>
      </c>
      <c r="AL21" s="17">
        <v>-7.55927</v>
      </c>
      <c r="AM21" s="17">
        <v>110.82464</v>
      </c>
      <c r="AN21" s="20"/>
      <c r="AO21" s="60">
        <v>16.0</v>
      </c>
      <c r="AP21" s="90" t="s">
        <v>199</v>
      </c>
      <c r="AQ21" s="17">
        <v>-7.58111</v>
      </c>
      <c r="AR21" s="17">
        <v>110.81723</v>
      </c>
      <c r="AS21" s="20"/>
      <c r="AT21" s="33">
        <v>16.0</v>
      </c>
      <c r="AU21" s="17" t="s">
        <v>691</v>
      </c>
      <c r="AV21" s="17">
        <v>-7.56549939999999</v>
      </c>
      <c r="AW21" s="17">
        <v>110.8432094</v>
      </c>
    </row>
    <row r="22">
      <c r="A22" s="33">
        <v>17.0</v>
      </c>
      <c r="B22" s="17" t="s">
        <v>166</v>
      </c>
      <c r="C22" s="17">
        <v>-7.55770229999999</v>
      </c>
      <c r="D22" s="17">
        <v>110.8476391</v>
      </c>
      <c r="E22" s="20"/>
      <c r="F22" s="33">
        <v>17.0</v>
      </c>
      <c r="G22" s="17" t="s">
        <v>504</v>
      </c>
      <c r="H22" s="17">
        <v>-7.55971</v>
      </c>
      <c r="I22" s="17">
        <v>110.83843</v>
      </c>
      <c r="J22" s="20"/>
      <c r="K22" s="33">
        <v>17.0</v>
      </c>
      <c r="L22" s="17" t="s">
        <v>196</v>
      </c>
      <c r="M22" s="20">
        <v>-7.5683537</v>
      </c>
      <c r="N22" s="20">
        <v>110.7880699</v>
      </c>
      <c r="O22" s="20"/>
      <c r="P22" s="91">
        <v>17.0</v>
      </c>
      <c r="Q22" s="17" t="s">
        <v>610</v>
      </c>
      <c r="R22" s="17">
        <v>-7.54844</v>
      </c>
      <c r="S22" s="17">
        <v>110.78341</v>
      </c>
      <c r="T22" s="20"/>
      <c r="U22" s="33">
        <v>17.0</v>
      </c>
      <c r="V22" s="17" t="s">
        <v>348</v>
      </c>
      <c r="W22" s="17">
        <v>-7.53735</v>
      </c>
      <c r="X22" s="17">
        <v>110.80302</v>
      </c>
      <c r="Y22" s="20"/>
      <c r="Z22" s="33">
        <v>17.0</v>
      </c>
      <c r="AA22" s="23" t="s">
        <v>692</v>
      </c>
      <c r="AB22" s="24">
        <v>-7.56149259999999</v>
      </c>
      <c r="AC22" s="24">
        <v>110.8269797</v>
      </c>
      <c r="AD22" s="20"/>
      <c r="AE22" s="33">
        <v>17.0</v>
      </c>
      <c r="AF22" s="17" t="s">
        <v>693</v>
      </c>
      <c r="AG22" s="17">
        <v>-7.56399999999999</v>
      </c>
      <c r="AH22" s="17">
        <v>110.82569</v>
      </c>
      <c r="AI22" s="20"/>
      <c r="AJ22" s="33">
        <v>17.0</v>
      </c>
      <c r="AK22" s="17" t="s">
        <v>428</v>
      </c>
      <c r="AL22" s="17">
        <v>-7.5626552</v>
      </c>
      <c r="AM22" s="17">
        <v>110.8247223</v>
      </c>
      <c r="AN22" s="20"/>
      <c r="AO22" s="91">
        <v>17.0</v>
      </c>
      <c r="AP22" s="28" t="s">
        <v>198</v>
      </c>
      <c r="AQ22" s="24">
        <v>-7.58068</v>
      </c>
      <c r="AR22" s="24">
        <v>110.81539</v>
      </c>
      <c r="AS22" s="20"/>
      <c r="AT22" s="33">
        <v>17.0</v>
      </c>
      <c r="AU22" s="17" t="s">
        <v>613</v>
      </c>
      <c r="AV22" s="17">
        <v>-7.56575689999999</v>
      </c>
      <c r="AW22" s="17">
        <v>110.844802</v>
      </c>
    </row>
    <row r="23">
      <c r="A23" s="91">
        <v>18.0</v>
      </c>
      <c r="B23" s="17" t="s">
        <v>167</v>
      </c>
      <c r="C23" s="17">
        <v>-7.56303</v>
      </c>
      <c r="D23" s="17">
        <v>110.83534</v>
      </c>
      <c r="E23" s="20"/>
      <c r="F23" s="91">
        <v>18.0</v>
      </c>
      <c r="G23" s="17" t="s">
        <v>188</v>
      </c>
      <c r="H23" s="17">
        <v>-7.55857</v>
      </c>
      <c r="I23" s="17">
        <v>110.83563</v>
      </c>
      <c r="J23" s="20"/>
      <c r="K23" s="33">
        <v>18.0</v>
      </c>
      <c r="L23" s="17" t="s">
        <v>197</v>
      </c>
      <c r="M23" s="20">
        <v>-7.5686656</v>
      </c>
      <c r="N23" s="20">
        <v>110.7899912</v>
      </c>
      <c r="O23" s="20"/>
      <c r="P23" s="91">
        <v>18.0</v>
      </c>
      <c r="Q23" s="17" t="s">
        <v>615</v>
      </c>
      <c r="R23" s="17">
        <v>-7.54933</v>
      </c>
      <c r="S23" s="17">
        <v>110.78602</v>
      </c>
      <c r="T23" s="20"/>
      <c r="U23" s="33">
        <v>18.0</v>
      </c>
      <c r="V23" s="17" t="s">
        <v>349</v>
      </c>
      <c r="W23" s="17">
        <v>-7.54045999999999</v>
      </c>
      <c r="X23" s="17">
        <v>110.80699</v>
      </c>
      <c r="Y23" s="20"/>
      <c r="Z23" s="33">
        <v>18.0</v>
      </c>
      <c r="AA23" s="23" t="s">
        <v>693</v>
      </c>
      <c r="AB23" s="24">
        <v>-7.56399999999999</v>
      </c>
      <c r="AC23" s="24">
        <v>110.82569</v>
      </c>
      <c r="AD23" s="20"/>
      <c r="AE23" s="33">
        <v>18.0</v>
      </c>
      <c r="AF23" s="17" t="s">
        <v>388</v>
      </c>
      <c r="AG23" s="17">
        <v>-7.56363999999999</v>
      </c>
      <c r="AH23" s="17">
        <v>110.82383</v>
      </c>
      <c r="AI23" s="20"/>
      <c r="AJ23" s="33">
        <v>18.0</v>
      </c>
      <c r="AK23" s="17" t="s">
        <v>96</v>
      </c>
      <c r="AL23" s="17">
        <v>-7.56203319999999</v>
      </c>
      <c r="AM23" s="17">
        <v>110.8260413</v>
      </c>
      <c r="AN23" s="20"/>
      <c r="AO23" s="33">
        <v>18.0</v>
      </c>
      <c r="AP23" s="28" t="s">
        <v>443</v>
      </c>
      <c r="AQ23" s="24">
        <v>-7.5794</v>
      </c>
      <c r="AR23" s="24">
        <v>110.81467</v>
      </c>
      <c r="AS23" s="20"/>
      <c r="AT23" s="33">
        <v>18.0</v>
      </c>
      <c r="AU23" s="17" t="s">
        <v>617</v>
      </c>
      <c r="AV23" s="17">
        <v>-7.56528019999999</v>
      </c>
      <c r="AW23" s="17">
        <v>110.8463767</v>
      </c>
    </row>
    <row r="24">
      <c r="A24" s="33">
        <v>19.0</v>
      </c>
      <c r="B24" s="17" t="s">
        <v>168</v>
      </c>
      <c r="C24" s="17">
        <v>-7.5645116</v>
      </c>
      <c r="D24" s="17">
        <v>110.834624</v>
      </c>
      <c r="E24" s="20"/>
      <c r="F24" s="33">
        <v>19.0</v>
      </c>
      <c r="G24" s="17" t="s">
        <v>189</v>
      </c>
      <c r="H24" s="17">
        <v>-7.55907</v>
      </c>
      <c r="I24" s="17">
        <v>110.83246</v>
      </c>
      <c r="J24" s="20"/>
      <c r="K24" s="33">
        <v>19.0</v>
      </c>
      <c r="L24" s="17" t="s">
        <v>194</v>
      </c>
      <c r="M24" s="20">
        <v>-7.5694125</v>
      </c>
      <c r="N24" s="20">
        <v>110.796951</v>
      </c>
      <c r="O24" s="20"/>
      <c r="P24" s="91">
        <v>19.0</v>
      </c>
      <c r="Q24" s="17" t="s">
        <v>318</v>
      </c>
      <c r="R24" s="17">
        <v>-7.55074</v>
      </c>
      <c r="S24" s="17">
        <v>110.7903</v>
      </c>
      <c r="T24" s="20"/>
      <c r="U24" s="33">
        <v>19.0</v>
      </c>
      <c r="V24" s="17" t="s">
        <v>350</v>
      </c>
      <c r="W24" s="17">
        <v>-7.5446869</v>
      </c>
      <c r="X24" s="17">
        <v>110.806696</v>
      </c>
      <c r="Y24" s="20"/>
      <c r="Z24" s="33">
        <v>19.0</v>
      </c>
      <c r="AA24" s="23" t="s">
        <v>694</v>
      </c>
      <c r="AB24" s="24">
        <v>-7.56363999999999</v>
      </c>
      <c r="AC24" s="24">
        <v>110.82383</v>
      </c>
      <c r="AD24" s="20"/>
      <c r="AE24" s="20"/>
      <c r="AF24" s="20"/>
      <c r="AG24" s="20"/>
      <c r="AH24" s="20"/>
      <c r="AI24" s="20"/>
      <c r="AJ24" s="33">
        <v>19.0</v>
      </c>
      <c r="AK24" s="17" t="s">
        <v>429</v>
      </c>
      <c r="AL24" s="17">
        <v>-7.56284</v>
      </c>
      <c r="AM24" s="17">
        <v>110.82859</v>
      </c>
      <c r="AN24" s="20"/>
      <c r="AO24" s="33">
        <v>19.0</v>
      </c>
      <c r="AP24" s="28" t="s">
        <v>444</v>
      </c>
      <c r="AQ24" s="24">
        <v>-7.5778893</v>
      </c>
      <c r="AR24" s="24">
        <v>110.8152941</v>
      </c>
      <c r="AS24" s="20"/>
      <c r="AT24" s="33">
        <v>19.0</v>
      </c>
      <c r="AU24" s="93" t="s">
        <v>475</v>
      </c>
      <c r="AV24" s="17">
        <v>-7.56739</v>
      </c>
      <c r="AW24" s="17">
        <v>110.84744</v>
      </c>
    </row>
    <row r="25">
      <c r="A25" s="33">
        <v>20.0</v>
      </c>
      <c r="B25" s="17" t="s">
        <v>169</v>
      </c>
      <c r="C25" s="17">
        <v>-7.56717999999999</v>
      </c>
      <c r="D25" s="17">
        <v>110.83263</v>
      </c>
      <c r="E25" s="20"/>
      <c r="F25" s="33">
        <v>20.0</v>
      </c>
      <c r="G25" s="17" t="s">
        <v>190</v>
      </c>
      <c r="H25" s="17">
        <v>-7.5588525</v>
      </c>
      <c r="I25" s="17">
        <v>110.8302689</v>
      </c>
      <c r="J25" s="20"/>
      <c r="K25" s="33">
        <v>20.0</v>
      </c>
      <c r="L25" s="17" t="s">
        <v>294</v>
      </c>
      <c r="M25" s="20">
        <v>-7.5707084</v>
      </c>
      <c r="N25" s="20">
        <v>110.8001691</v>
      </c>
      <c r="O25" s="20"/>
      <c r="P25" s="91">
        <v>20.0</v>
      </c>
      <c r="Q25" s="17" t="s">
        <v>319</v>
      </c>
      <c r="R25" s="17">
        <v>-7.5517</v>
      </c>
      <c r="S25" s="17">
        <v>110.79324</v>
      </c>
      <c r="T25" s="20"/>
      <c r="U25" s="33">
        <v>20.0</v>
      </c>
      <c r="V25" s="17" t="s">
        <v>351</v>
      </c>
      <c r="W25" s="17">
        <v>-7.55017999999999</v>
      </c>
      <c r="X25" s="17">
        <v>110.80301</v>
      </c>
      <c r="Y25" s="20"/>
      <c r="Z25" s="60">
        <v>20.0</v>
      </c>
      <c r="AA25" s="97" t="s">
        <v>389</v>
      </c>
      <c r="AB25" s="29">
        <v>-7.5646311</v>
      </c>
      <c r="AC25" s="29">
        <v>110.8219116</v>
      </c>
      <c r="AD25" s="20"/>
      <c r="AE25" s="20"/>
      <c r="AF25" s="20"/>
      <c r="AG25" s="20"/>
      <c r="AH25" s="20"/>
      <c r="AI25" s="20"/>
      <c r="AJ25" s="33">
        <v>20.0</v>
      </c>
      <c r="AK25" s="17" t="s">
        <v>430</v>
      </c>
      <c r="AL25" s="17">
        <v>-7.5647671</v>
      </c>
      <c r="AM25" s="17">
        <v>110.8283736</v>
      </c>
      <c r="AN25" s="20"/>
      <c r="AO25" s="91">
        <v>20.0</v>
      </c>
      <c r="AP25" s="28" t="s">
        <v>445</v>
      </c>
      <c r="AQ25" s="24">
        <v>-7.58921</v>
      </c>
      <c r="AR25" s="24">
        <v>110.82371</v>
      </c>
      <c r="AS25" s="20"/>
      <c r="AT25" s="33">
        <v>20.0</v>
      </c>
      <c r="AU25" s="93" t="s">
        <v>476</v>
      </c>
      <c r="AV25" s="17">
        <v>-7.5697</v>
      </c>
      <c r="AW25" s="17">
        <v>110.84668</v>
      </c>
    </row>
    <row r="26">
      <c r="A26" s="33">
        <v>21.0</v>
      </c>
      <c r="B26" s="17" t="s">
        <v>170</v>
      </c>
      <c r="C26" s="17">
        <v>-7.569377</v>
      </c>
      <c r="D26" s="17">
        <v>110.8315563</v>
      </c>
      <c r="E26" s="20"/>
      <c r="F26" s="33">
        <v>21.0</v>
      </c>
      <c r="G26" s="17" t="s">
        <v>263</v>
      </c>
      <c r="H26" s="17">
        <v>-7.5588255</v>
      </c>
      <c r="I26" s="17">
        <v>110.8296634</v>
      </c>
      <c r="J26" s="20"/>
      <c r="K26" s="33">
        <v>21.0</v>
      </c>
      <c r="L26" s="17" t="s">
        <v>295</v>
      </c>
      <c r="M26" s="20">
        <v>-7.5712661</v>
      </c>
      <c r="N26" s="20">
        <v>110.8035283</v>
      </c>
      <c r="O26" s="20"/>
      <c r="P26" s="33">
        <v>21.0</v>
      </c>
      <c r="Q26" s="17" t="s">
        <v>320</v>
      </c>
      <c r="R26" s="17">
        <v>-7.55339759999999</v>
      </c>
      <c r="S26" s="17">
        <v>110.7957826</v>
      </c>
      <c r="T26" s="20"/>
      <c r="U26" s="91">
        <v>21.0</v>
      </c>
      <c r="V26" s="17" t="s">
        <v>352</v>
      </c>
      <c r="W26" s="17">
        <v>-7.5533</v>
      </c>
      <c r="X26" s="17">
        <v>110.80032</v>
      </c>
      <c r="Y26" s="20"/>
      <c r="Z26" s="33">
        <v>21.0</v>
      </c>
      <c r="AA26" s="23" t="s">
        <v>695</v>
      </c>
      <c r="AB26" s="24">
        <v>-7.5631</v>
      </c>
      <c r="AC26" s="24">
        <v>110.8206885</v>
      </c>
      <c r="AD26" s="20"/>
      <c r="AE26" s="20"/>
      <c r="AF26" s="20"/>
      <c r="AG26" s="20"/>
      <c r="AH26" s="20"/>
      <c r="AI26" s="20"/>
      <c r="AJ26" s="33">
        <v>21.0</v>
      </c>
      <c r="AK26" s="17" t="s">
        <v>431</v>
      </c>
      <c r="AL26" s="17">
        <v>-7.56568</v>
      </c>
      <c r="AM26" s="17">
        <v>110.83097</v>
      </c>
      <c r="AN26" s="20"/>
      <c r="AO26" s="33">
        <v>21.0</v>
      </c>
      <c r="AP26" s="28" t="s">
        <v>446</v>
      </c>
      <c r="AQ26" s="24">
        <v>-7.57262729999999</v>
      </c>
      <c r="AR26" s="24">
        <v>110.8155196</v>
      </c>
      <c r="AS26" s="20"/>
      <c r="AT26" s="33">
        <v>21.0</v>
      </c>
      <c r="AU26" s="93" t="s">
        <v>477</v>
      </c>
      <c r="AV26" s="17">
        <v>-7.57028</v>
      </c>
      <c r="AW26" s="17">
        <v>110.8476</v>
      </c>
    </row>
    <row r="27">
      <c r="A27" s="33">
        <v>22.0</v>
      </c>
      <c r="B27" s="17" t="s">
        <v>171</v>
      </c>
      <c r="C27" s="17">
        <v>-7.5694476</v>
      </c>
      <c r="D27" s="17">
        <v>110.829594</v>
      </c>
      <c r="E27" s="20"/>
      <c r="F27" s="33">
        <v>22.0</v>
      </c>
      <c r="G27" s="17" t="s">
        <v>264</v>
      </c>
      <c r="H27" s="17">
        <v>-7.55833</v>
      </c>
      <c r="I27" s="17">
        <v>110.82699</v>
      </c>
      <c r="J27" s="20"/>
      <c r="K27" s="33">
        <v>22.0</v>
      </c>
      <c r="L27" s="17" t="s">
        <v>296</v>
      </c>
      <c r="M27" s="20">
        <v>-7.5713106</v>
      </c>
      <c r="N27" s="20">
        <v>110.8050432</v>
      </c>
      <c r="O27" s="20"/>
      <c r="P27" s="33">
        <v>22.0</v>
      </c>
      <c r="Q27" s="17" t="s">
        <v>321</v>
      </c>
      <c r="R27" s="17">
        <v>-7.55325569999999</v>
      </c>
      <c r="S27" s="17">
        <v>110.7983771</v>
      </c>
      <c r="T27" s="20"/>
      <c r="U27" s="33">
        <v>22.0</v>
      </c>
      <c r="V27" s="17" t="s">
        <v>209</v>
      </c>
      <c r="W27" s="17">
        <v>-7.55548</v>
      </c>
      <c r="X27" s="20">
        <v>110.4714619</v>
      </c>
      <c r="Y27" s="20"/>
      <c r="Z27" s="33">
        <v>22.0</v>
      </c>
      <c r="AA27" s="23" t="s">
        <v>696</v>
      </c>
      <c r="AB27" s="24">
        <v>-7.5625</v>
      </c>
      <c r="AC27" s="24">
        <v>110.81992</v>
      </c>
      <c r="AD27" s="20"/>
      <c r="AE27" s="20"/>
      <c r="AF27" s="20"/>
      <c r="AG27" s="20"/>
      <c r="AH27" s="20"/>
      <c r="AI27" s="20"/>
      <c r="AJ27" s="91">
        <v>22.0</v>
      </c>
      <c r="AK27" s="17" t="s">
        <v>432</v>
      </c>
      <c r="AL27" s="17">
        <v>-7.56591</v>
      </c>
      <c r="AM27" s="17">
        <v>110.83212</v>
      </c>
      <c r="AN27" s="20"/>
      <c r="AO27" s="33">
        <v>22.0</v>
      </c>
      <c r="AP27" s="28" t="s">
        <v>447</v>
      </c>
      <c r="AQ27" s="24">
        <v>-7.57101869999999</v>
      </c>
      <c r="AR27" s="24">
        <v>110.8149706</v>
      </c>
      <c r="AS27" s="20"/>
      <c r="AT27" s="33">
        <v>22.0</v>
      </c>
      <c r="AU27" s="98" t="s">
        <v>478</v>
      </c>
      <c r="AV27" s="17">
        <v>-7.56978999999999</v>
      </c>
      <c r="AW27" s="17">
        <v>110.84972</v>
      </c>
    </row>
    <row r="28">
      <c r="A28" s="33">
        <v>23.0</v>
      </c>
      <c r="B28" s="17" t="s">
        <v>172</v>
      </c>
      <c r="C28" s="17">
        <v>-7.57218389999999</v>
      </c>
      <c r="D28" s="17">
        <v>110.8313275</v>
      </c>
      <c r="E28" s="20"/>
      <c r="F28" s="33">
        <v>23.0</v>
      </c>
      <c r="G28" s="17" t="s">
        <v>265</v>
      </c>
      <c r="H28" s="17">
        <v>-7.55744219999999</v>
      </c>
      <c r="I28" s="17">
        <v>110.8234039</v>
      </c>
      <c r="J28" s="20"/>
      <c r="K28" s="33">
        <v>23.0</v>
      </c>
      <c r="L28" s="17" t="s">
        <v>297</v>
      </c>
      <c r="M28" s="20">
        <v>-7.6385145</v>
      </c>
      <c r="N28" s="20">
        <v>111.3590118</v>
      </c>
      <c r="O28" s="20"/>
      <c r="P28" s="60">
        <v>23.0</v>
      </c>
      <c r="Q28" s="90" t="s">
        <v>322</v>
      </c>
      <c r="R28" s="17">
        <v>-7.55548</v>
      </c>
      <c r="S28" s="20">
        <v>110.4714619</v>
      </c>
      <c r="T28" s="20"/>
      <c r="U28" s="33">
        <v>23.0</v>
      </c>
      <c r="V28" s="17" t="s">
        <v>210</v>
      </c>
      <c r="W28" s="20">
        <v>-7.55559</v>
      </c>
      <c r="X28" s="20">
        <v>110.8064838</v>
      </c>
      <c r="Y28" s="20"/>
      <c r="Z28" s="33">
        <v>23.0</v>
      </c>
      <c r="AA28" s="23" t="s">
        <v>584</v>
      </c>
      <c r="AB28" s="24">
        <v>-7.56506269999999</v>
      </c>
      <c r="AC28" s="25">
        <v>110.8180808</v>
      </c>
      <c r="AD28" s="20"/>
      <c r="AE28" s="20"/>
      <c r="AF28" s="20"/>
      <c r="AG28" s="20"/>
      <c r="AH28" s="20"/>
      <c r="AI28" s="20"/>
      <c r="AJ28" s="33">
        <v>23.0</v>
      </c>
      <c r="AK28" s="17" t="s">
        <v>169</v>
      </c>
      <c r="AL28" s="17">
        <v>-7.56717999999999</v>
      </c>
      <c r="AM28" s="17">
        <v>110.83263</v>
      </c>
      <c r="AN28" s="20"/>
      <c r="AO28" s="91">
        <v>23.0</v>
      </c>
      <c r="AP28" s="28" t="s">
        <v>448</v>
      </c>
      <c r="AQ28" s="24">
        <v>-7.5698</v>
      </c>
      <c r="AR28" s="24">
        <v>110.81189</v>
      </c>
      <c r="AS28" s="20"/>
      <c r="AT28" s="33">
        <v>23.0</v>
      </c>
      <c r="AU28" s="98" t="s">
        <v>479</v>
      </c>
      <c r="AV28" s="17">
        <v>-7.56912</v>
      </c>
      <c r="AW28" s="17">
        <v>110.85257</v>
      </c>
    </row>
    <row r="29">
      <c r="A29" s="33">
        <v>24.0</v>
      </c>
      <c r="B29" s="17" t="s">
        <v>173</v>
      </c>
      <c r="C29" s="20">
        <v>-7.5720324</v>
      </c>
      <c r="D29" s="20">
        <v>110.8280273</v>
      </c>
      <c r="E29" s="20"/>
      <c r="F29" s="33">
        <v>24.0</v>
      </c>
      <c r="G29" s="17" t="s">
        <v>266</v>
      </c>
      <c r="H29" s="17">
        <v>-7.5570131</v>
      </c>
      <c r="I29" s="17">
        <v>110.8213794</v>
      </c>
      <c r="J29" s="20"/>
      <c r="K29" s="33">
        <v>24.0</v>
      </c>
      <c r="L29" s="17" t="s">
        <v>298</v>
      </c>
      <c r="M29" s="20">
        <v>-7.5699639</v>
      </c>
      <c r="N29" s="20">
        <v>110.7968624</v>
      </c>
      <c r="O29" s="20"/>
      <c r="P29" s="33">
        <v>24.0</v>
      </c>
      <c r="Q29" s="17" t="s">
        <v>210</v>
      </c>
      <c r="R29" s="17">
        <v>-7.5555789</v>
      </c>
      <c r="S29" s="17">
        <v>110.8065334</v>
      </c>
      <c r="T29" s="20"/>
      <c r="U29" s="33">
        <v>24.0</v>
      </c>
      <c r="V29" s="17" t="s">
        <v>191</v>
      </c>
      <c r="W29" s="17">
        <v>-7.5621785</v>
      </c>
      <c r="X29" s="17">
        <v>110.8074437</v>
      </c>
      <c r="Y29" s="20"/>
      <c r="Z29" s="33">
        <v>24.0</v>
      </c>
      <c r="AA29" s="13" t="s">
        <v>146</v>
      </c>
      <c r="AB29" s="25">
        <v>-7.56637449999999</v>
      </c>
      <c r="AC29" s="25">
        <v>110.8187841</v>
      </c>
      <c r="AD29" s="20"/>
      <c r="AE29" s="20"/>
      <c r="AF29" s="20"/>
      <c r="AG29" s="20"/>
      <c r="AH29" s="20"/>
      <c r="AI29" s="20"/>
      <c r="AJ29" s="33">
        <v>24.0</v>
      </c>
      <c r="AK29" s="17" t="s">
        <v>170</v>
      </c>
      <c r="AL29" s="17">
        <v>-7.569377</v>
      </c>
      <c r="AM29" s="17">
        <v>110.8315563</v>
      </c>
      <c r="AN29" s="20"/>
      <c r="AO29" s="60">
        <v>24.0</v>
      </c>
      <c r="AP29" s="28" t="s">
        <v>449</v>
      </c>
      <c r="AQ29" s="24">
        <v>-7.56934</v>
      </c>
      <c r="AR29" s="24">
        <v>110.8083</v>
      </c>
      <c r="AS29" s="20"/>
      <c r="AT29" s="33">
        <v>24.0</v>
      </c>
      <c r="AU29" s="98" t="s">
        <v>480</v>
      </c>
      <c r="AV29" s="17">
        <v>-7.5683186</v>
      </c>
      <c r="AW29" s="17">
        <v>110.8545831</v>
      </c>
    </row>
    <row r="30">
      <c r="A30" s="33">
        <v>25.0</v>
      </c>
      <c r="B30" s="17" t="s">
        <v>174</v>
      </c>
      <c r="C30" s="17">
        <v>-7.57101</v>
      </c>
      <c r="D30" s="17">
        <v>110.82487</v>
      </c>
      <c r="E30" s="20"/>
      <c r="F30" s="33">
        <v>25.0</v>
      </c>
      <c r="G30" s="17" t="s">
        <v>267</v>
      </c>
      <c r="H30" s="17">
        <v>-7.5593789</v>
      </c>
      <c r="I30" s="17">
        <v>110.8180391</v>
      </c>
      <c r="J30" s="20"/>
      <c r="K30" s="33">
        <v>25.0</v>
      </c>
      <c r="L30" s="17" t="s">
        <v>299</v>
      </c>
      <c r="M30" s="17">
        <v>-7.573509</v>
      </c>
      <c r="N30" s="17">
        <v>110.8095022</v>
      </c>
      <c r="O30" s="20"/>
      <c r="P30" s="33">
        <v>25.0</v>
      </c>
      <c r="Q30" s="17" t="s">
        <v>635</v>
      </c>
      <c r="R30" s="17">
        <v>-7.7832971</v>
      </c>
      <c r="S30" s="17">
        <v>110.3935667</v>
      </c>
      <c r="T30" s="20"/>
      <c r="U30" s="33">
        <v>25.0</v>
      </c>
      <c r="V30" s="17" t="s">
        <v>192</v>
      </c>
      <c r="W30" s="17">
        <v>-7.56372999999999</v>
      </c>
      <c r="X30" s="17">
        <v>110.80648</v>
      </c>
      <c r="Y30" s="20"/>
      <c r="Z30" s="60">
        <v>25.0</v>
      </c>
      <c r="AA30" s="13" t="s">
        <v>697</v>
      </c>
      <c r="AB30" s="25">
        <v>-7.5690328</v>
      </c>
      <c r="AC30" s="25">
        <v>110.8170926</v>
      </c>
      <c r="AD30" s="20"/>
      <c r="AE30" s="20"/>
      <c r="AF30" s="20"/>
      <c r="AG30" s="20"/>
      <c r="AH30" s="20"/>
      <c r="AI30" s="20"/>
      <c r="AJ30" s="33">
        <v>25.0</v>
      </c>
      <c r="AK30" s="17" t="s">
        <v>171</v>
      </c>
      <c r="AL30" s="17">
        <v>-7.5694476</v>
      </c>
      <c r="AM30" s="17">
        <v>110.829594</v>
      </c>
      <c r="AN30" s="20"/>
      <c r="AO30" s="91">
        <v>25.0</v>
      </c>
      <c r="AP30" s="28" t="s">
        <v>450</v>
      </c>
      <c r="AQ30" s="24">
        <v>-7.56853</v>
      </c>
      <c r="AR30" s="24">
        <v>110.80295</v>
      </c>
      <c r="AS30" s="20"/>
      <c r="AT30" s="60">
        <v>25.0</v>
      </c>
      <c r="AU30" s="98" t="s">
        <v>481</v>
      </c>
      <c r="AV30" s="17">
        <v>-7.56823</v>
      </c>
      <c r="AW30" s="17">
        <v>110.85824</v>
      </c>
    </row>
    <row r="31">
      <c r="A31" s="33">
        <v>26.0</v>
      </c>
      <c r="B31" s="17" t="s">
        <v>175</v>
      </c>
      <c r="C31" s="17">
        <v>-7.6625011</v>
      </c>
      <c r="D31" s="17">
        <v>111.9618081</v>
      </c>
      <c r="E31" s="20"/>
      <c r="F31" s="33">
        <v>26.0</v>
      </c>
      <c r="G31" s="17" t="s">
        <v>268</v>
      </c>
      <c r="H31" s="17">
        <v>-7.56115089999999</v>
      </c>
      <c r="I31" s="17">
        <v>110.8196281</v>
      </c>
      <c r="J31" s="20"/>
      <c r="K31" s="33">
        <v>26.0</v>
      </c>
      <c r="L31" s="17" t="s">
        <v>300</v>
      </c>
      <c r="M31" s="17">
        <v>-7.57514349999999</v>
      </c>
      <c r="N31" s="17">
        <v>110.8097735</v>
      </c>
      <c r="O31" s="20"/>
      <c r="P31" s="33">
        <v>26.0</v>
      </c>
      <c r="Q31" s="17" t="s">
        <v>636</v>
      </c>
      <c r="R31" s="17">
        <v>-7.5562077</v>
      </c>
      <c r="S31" s="17">
        <v>110.8046283</v>
      </c>
      <c r="T31" s="20"/>
      <c r="U31" s="33">
        <v>26.0</v>
      </c>
      <c r="V31" s="17" t="s">
        <v>180</v>
      </c>
      <c r="W31" s="17">
        <v>-7.5653557</v>
      </c>
      <c r="X31" s="17">
        <v>110.8059815</v>
      </c>
      <c r="Y31" s="20"/>
      <c r="Z31" s="33">
        <v>26.0</v>
      </c>
      <c r="AA31" s="13" t="s">
        <v>698</v>
      </c>
      <c r="AB31" s="25">
        <v>-7.5724513</v>
      </c>
      <c r="AC31" s="25">
        <v>110.8163161</v>
      </c>
      <c r="AD31" s="20"/>
      <c r="AE31" s="20"/>
      <c r="AF31" s="20"/>
      <c r="AG31" s="20"/>
      <c r="AH31" s="20"/>
      <c r="AI31" s="20"/>
      <c r="AJ31" s="33">
        <v>26.0</v>
      </c>
      <c r="AK31" s="17" t="s">
        <v>172</v>
      </c>
      <c r="AL31" s="17">
        <v>-7.57218389999999</v>
      </c>
      <c r="AM31" s="17">
        <v>110.8313275</v>
      </c>
      <c r="AN31" s="20"/>
      <c r="AO31" s="33">
        <v>26.0</v>
      </c>
      <c r="AP31" s="28" t="s">
        <v>451</v>
      </c>
      <c r="AQ31" s="24">
        <v>-7.56765</v>
      </c>
      <c r="AR31" s="24">
        <v>110.80092</v>
      </c>
      <c r="AS31" s="20"/>
      <c r="AT31" s="33">
        <v>26.0</v>
      </c>
      <c r="AU31" s="98" t="s">
        <v>482</v>
      </c>
      <c r="AV31" s="17">
        <v>-7.56701</v>
      </c>
      <c r="AW31" s="17">
        <v>110.86017</v>
      </c>
    </row>
    <row r="32">
      <c r="A32" s="33">
        <v>27.0</v>
      </c>
      <c r="B32" s="17" t="s">
        <v>176</v>
      </c>
      <c r="C32" s="17">
        <v>-7.569951</v>
      </c>
      <c r="D32" s="17">
        <v>110.8200437</v>
      </c>
      <c r="E32" s="20"/>
      <c r="F32" s="33">
        <v>27.0</v>
      </c>
      <c r="G32" s="17" t="s">
        <v>269</v>
      </c>
      <c r="H32" s="17">
        <v>-7.5638586</v>
      </c>
      <c r="I32" s="17">
        <v>110.8192154</v>
      </c>
      <c r="J32" s="20"/>
      <c r="K32" s="33">
        <v>27.0</v>
      </c>
      <c r="L32" s="17" t="s">
        <v>301</v>
      </c>
      <c r="M32" s="20">
        <v>-7.5778589</v>
      </c>
      <c r="N32" s="20">
        <v>110.808262</v>
      </c>
      <c r="O32" s="20"/>
      <c r="P32" s="33">
        <v>27.0</v>
      </c>
      <c r="Q32" s="17" t="s">
        <v>638</v>
      </c>
      <c r="R32" s="17">
        <v>-7.5526844</v>
      </c>
      <c r="S32" s="17">
        <v>110.8142742</v>
      </c>
      <c r="T32" s="20"/>
      <c r="U32" s="33">
        <v>27.0</v>
      </c>
      <c r="V32" s="17" t="s">
        <v>179</v>
      </c>
      <c r="W32" s="17">
        <v>-7.56706</v>
      </c>
      <c r="X32" s="17">
        <v>110.8119</v>
      </c>
      <c r="Y32" s="20"/>
      <c r="Z32" s="33">
        <v>27.0</v>
      </c>
      <c r="AA32" s="97" t="s">
        <v>396</v>
      </c>
      <c r="AB32" s="29">
        <v>-7.57448999999999</v>
      </c>
      <c r="AC32" s="29">
        <v>110.82047</v>
      </c>
      <c r="AD32" s="20"/>
      <c r="AE32" s="20"/>
      <c r="AF32" s="20"/>
      <c r="AG32" s="20"/>
      <c r="AH32" s="20"/>
      <c r="AI32" s="20"/>
      <c r="AJ32" s="33">
        <v>27.0</v>
      </c>
      <c r="AK32" s="17" t="s">
        <v>225</v>
      </c>
      <c r="AL32" s="17">
        <v>-7.57376999999999</v>
      </c>
      <c r="AM32" s="17">
        <v>110.82936</v>
      </c>
      <c r="AN32" s="20"/>
      <c r="AO32" s="91">
        <v>27.0</v>
      </c>
      <c r="AP32" s="28" t="s">
        <v>452</v>
      </c>
      <c r="AQ32" s="24">
        <v>-7.5672</v>
      </c>
      <c r="AR32" s="24">
        <v>110.79906</v>
      </c>
      <c r="AS32" s="20"/>
      <c r="AT32" s="33">
        <v>27.0</v>
      </c>
      <c r="AU32" s="13" t="s">
        <v>512</v>
      </c>
      <c r="AV32" s="25">
        <v>-7.5653331</v>
      </c>
      <c r="AW32" s="25">
        <v>110.8649</v>
      </c>
    </row>
    <row r="33">
      <c r="A33" s="33">
        <v>28.0</v>
      </c>
      <c r="B33" s="17" t="s">
        <v>177</v>
      </c>
      <c r="C33" s="17">
        <v>-7.56637449999999</v>
      </c>
      <c r="D33" s="17">
        <v>110.8187841</v>
      </c>
      <c r="E33" s="20"/>
      <c r="F33" s="33">
        <v>28.0</v>
      </c>
      <c r="G33" s="17" t="s">
        <v>270</v>
      </c>
      <c r="H33" s="17">
        <v>-7.56559949999999</v>
      </c>
      <c r="I33" s="17">
        <v>110.8165735</v>
      </c>
      <c r="J33" s="20"/>
      <c r="K33" s="33">
        <v>28.0</v>
      </c>
      <c r="L33" s="17" t="s">
        <v>302</v>
      </c>
      <c r="M33" s="20">
        <v>-7.5715106</v>
      </c>
      <c r="N33" s="20">
        <v>110.8282691</v>
      </c>
      <c r="O33" s="20"/>
      <c r="P33" s="33">
        <v>28.0</v>
      </c>
      <c r="Q33" s="17" t="s">
        <v>640</v>
      </c>
      <c r="R33" s="17">
        <v>-7.5417649</v>
      </c>
      <c r="S33" s="17">
        <v>110.8206344</v>
      </c>
      <c r="T33" s="20"/>
      <c r="U33" s="33">
        <v>28.0</v>
      </c>
      <c r="V33" s="17" t="s">
        <v>178</v>
      </c>
      <c r="W33" s="17">
        <v>-7.56799</v>
      </c>
      <c r="X33" s="17">
        <v>110.81432</v>
      </c>
      <c r="Y33" s="20"/>
      <c r="Z33" s="33">
        <v>28.0</v>
      </c>
      <c r="AA33" s="13" t="s">
        <v>699</v>
      </c>
      <c r="AB33" s="25">
        <v>-7.57519</v>
      </c>
      <c r="AC33" s="25">
        <v>110.82239</v>
      </c>
      <c r="AD33" s="20"/>
      <c r="AE33" s="20"/>
      <c r="AF33" s="20"/>
      <c r="AG33" s="20"/>
      <c r="AH33" s="20"/>
      <c r="AI33" s="20"/>
      <c r="AJ33" s="33">
        <v>28.0</v>
      </c>
      <c r="AK33" s="17" t="s">
        <v>518</v>
      </c>
      <c r="AL33" s="17">
        <v>-7.5752054</v>
      </c>
      <c r="AM33" s="17">
        <v>110.8296154</v>
      </c>
      <c r="AN33" s="20"/>
      <c r="AO33" s="91">
        <v>28.0</v>
      </c>
      <c r="AP33" s="28" t="s">
        <v>193</v>
      </c>
      <c r="AQ33" s="24">
        <v>-7.56733</v>
      </c>
      <c r="AR33" s="24">
        <v>110.79816</v>
      </c>
      <c r="AS33" s="20"/>
      <c r="AT33" s="33">
        <v>28.0</v>
      </c>
      <c r="AU33" s="13" t="s">
        <v>26</v>
      </c>
      <c r="AV33" s="25">
        <v>-7.56562</v>
      </c>
      <c r="AW33" s="25">
        <v>110.86892</v>
      </c>
    </row>
    <row r="34">
      <c r="A34" s="33">
        <v>29.0</v>
      </c>
      <c r="B34" s="17" t="s">
        <v>178</v>
      </c>
      <c r="C34" s="17">
        <v>-7.56799</v>
      </c>
      <c r="D34" s="17">
        <v>110.81432</v>
      </c>
      <c r="E34" s="20"/>
      <c r="F34" s="33">
        <v>29.0</v>
      </c>
      <c r="G34" s="17" t="s">
        <v>271</v>
      </c>
      <c r="H34" s="17">
        <v>-7.5634522</v>
      </c>
      <c r="I34" s="17">
        <v>110.8144971</v>
      </c>
      <c r="J34" s="20"/>
      <c r="K34" s="91">
        <v>29.0</v>
      </c>
      <c r="L34" s="17" t="s">
        <v>198</v>
      </c>
      <c r="M34" s="17">
        <v>-7.5804</v>
      </c>
      <c r="N34" s="17">
        <v>110.81513</v>
      </c>
      <c r="O34" s="20"/>
      <c r="P34" s="60">
        <v>29.0</v>
      </c>
      <c r="Q34" s="90" t="s">
        <v>509</v>
      </c>
      <c r="R34" s="19" t="s">
        <v>534</v>
      </c>
      <c r="S34" s="19" t="s">
        <v>535</v>
      </c>
      <c r="T34" s="20"/>
      <c r="U34" s="33">
        <v>29.0</v>
      </c>
      <c r="V34" s="17" t="s">
        <v>353</v>
      </c>
      <c r="W34" s="20">
        <v>-7.5686609</v>
      </c>
      <c r="X34" s="20">
        <v>110.8166249</v>
      </c>
      <c r="Y34" s="20"/>
      <c r="Z34" s="33">
        <v>29.0</v>
      </c>
      <c r="AA34" s="13" t="s">
        <v>201</v>
      </c>
      <c r="AB34" s="25">
        <v>-7.5525998</v>
      </c>
      <c r="AC34" s="25">
        <v>110.8221132</v>
      </c>
      <c r="AD34" s="20"/>
      <c r="AE34" s="20"/>
      <c r="AF34" s="20"/>
      <c r="AG34" s="20"/>
      <c r="AH34" s="20"/>
      <c r="AI34" s="20"/>
      <c r="AJ34" s="33">
        <v>29.0</v>
      </c>
      <c r="AK34" s="17" t="s">
        <v>227</v>
      </c>
      <c r="AL34" s="17">
        <v>-7.57607</v>
      </c>
      <c r="AM34" s="17">
        <v>110.82909</v>
      </c>
      <c r="AN34" s="20"/>
      <c r="AO34" s="33">
        <v>29.0</v>
      </c>
      <c r="AP34" s="23" t="s">
        <v>194</v>
      </c>
      <c r="AQ34" s="24">
        <v>-7.5695802</v>
      </c>
      <c r="AR34" s="24">
        <v>110.7971372</v>
      </c>
      <c r="AS34" s="20"/>
      <c r="AT34" s="33">
        <v>29.0</v>
      </c>
      <c r="AU34" s="13" t="s">
        <v>513</v>
      </c>
      <c r="AV34" s="25">
        <v>-7.56607199999999</v>
      </c>
      <c r="AW34" s="25">
        <v>110.87161</v>
      </c>
    </row>
    <row r="35">
      <c r="A35" s="33">
        <v>30.0</v>
      </c>
      <c r="B35" s="17" t="s">
        <v>179</v>
      </c>
      <c r="C35" s="17">
        <v>-7.56706</v>
      </c>
      <c r="D35" s="17">
        <v>110.8119</v>
      </c>
      <c r="E35" s="20"/>
      <c r="F35" s="91">
        <v>30.0</v>
      </c>
      <c r="G35" s="17" t="s">
        <v>272</v>
      </c>
      <c r="H35" s="17">
        <v>-7.56194</v>
      </c>
      <c r="I35" s="17">
        <v>110.81174</v>
      </c>
      <c r="J35" s="20"/>
      <c r="K35" s="33">
        <v>30.0</v>
      </c>
      <c r="L35" s="17" t="s">
        <v>199</v>
      </c>
      <c r="M35" s="17">
        <v>-7.58111</v>
      </c>
      <c r="N35" s="17">
        <v>110.81723</v>
      </c>
      <c r="O35" s="20"/>
      <c r="P35" s="33">
        <v>30.0</v>
      </c>
      <c r="Q35" s="23" t="s">
        <v>211</v>
      </c>
      <c r="R35" s="24">
        <v>-7.55188679999999</v>
      </c>
      <c r="S35" s="24">
        <v>110.8195409</v>
      </c>
      <c r="T35" s="20"/>
      <c r="U35" s="33">
        <v>30.0</v>
      </c>
      <c r="V35" s="17" t="s">
        <v>177</v>
      </c>
      <c r="W35" s="17">
        <v>-7.56637449999999</v>
      </c>
      <c r="X35" s="17">
        <v>110.8187841</v>
      </c>
      <c r="Y35" s="20"/>
      <c r="Z35" s="91">
        <v>30.0</v>
      </c>
      <c r="AA35" s="99" t="s">
        <v>700</v>
      </c>
      <c r="AB35" s="25">
        <v>-7.58219</v>
      </c>
      <c r="AC35" s="25">
        <v>110.82094</v>
      </c>
      <c r="AD35" s="20"/>
      <c r="AE35" s="20"/>
      <c r="AF35" s="20"/>
      <c r="AG35" s="20"/>
      <c r="AH35" s="20"/>
      <c r="AI35" s="20"/>
      <c r="AJ35" s="91">
        <v>30.0</v>
      </c>
      <c r="AK35" s="17" t="s">
        <v>543</v>
      </c>
      <c r="AL35" s="17">
        <v>-7.57505</v>
      </c>
      <c r="AM35" s="17">
        <v>110.82771</v>
      </c>
      <c r="AN35" s="20"/>
      <c r="AO35" s="33">
        <v>30.0</v>
      </c>
      <c r="AP35" s="23" t="s">
        <v>195</v>
      </c>
      <c r="AQ35" s="24">
        <v>-7.5690719</v>
      </c>
      <c r="AR35" s="24">
        <v>110.7945611</v>
      </c>
      <c r="AS35" s="20"/>
      <c r="AT35" s="20"/>
      <c r="AU35" s="20"/>
      <c r="AV35" s="20"/>
      <c r="AW35" s="20"/>
    </row>
    <row r="36">
      <c r="A36" s="33">
        <v>31.0</v>
      </c>
      <c r="B36" s="17" t="s">
        <v>180</v>
      </c>
      <c r="C36" s="17">
        <v>-7.5653557</v>
      </c>
      <c r="D36" s="17">
        <v>110.8059815</v>
      </c>
      <c r="E36" s="20"/>
      <c r="F36" s="33">
        <v>31.0</v>
      </c>
      <c r="G36" s="17" t="s">
        <v>273</v>
      </c>
      <c r="H36" s="17">
        <v>-7.5624118</v>
      </c>
      <c r="I36" s="17">
        <v>110.8100122</v>
      </c>
      <c r="J36" s="20"/>
      <c r="K36" s="91">
        <v>31.0</v>
      </c>
      <c r="L36" s="17" t="s">
        <v>303</v>
      </c>
      <c r="M36" s="17">
        <v>-7.5817</v>
      </c>
      <c r="N36" s="17">
        <v>110.81975</v>
      </c>
      <c r="O36" s="20"/>
      <c r="P36" s="33">
        <v>31.0</v>
      </c>
      <c r="Q36" s="23" t="s">
        <v>701</v>
      </c>
      <c r="R36" s="24">
        <v>-7.55329</v>
      </c>
      <c r="S36" s="24">
        <v>110.82348</v>
      </c>
      <c r="T36" s="20"/>
      <c r="U36" s="33">
        <v>31.0</v>
      </c>
      <c r="V36" s="17" t="s">
        <v>176</v>
      </c>
      <c r="W36" s="17">
        <v>-7.569951</v>
      </c>
      <c r="X36" s="17">
        <v>110.8200437</v>
      </c>
      <c r="Y36" s="20"/>
      <c r="Z36" s="33">
        <v>31.0</v>
      </c>
      <c r="AA36" s="13" t="s">
        <v>702</v>
      </c>
      <c r="AB36" s="25">
        <v>-7.58294</v>
      </c>
      <c r="AC36" s="25">
        <v>110.82355</v>
      </c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60">
        <v>31.0</v>
      </c>
      <c r="AP36" s="23" t="s">
        <v>453</v>
      </c>
      <c r="AQ36" s="24">
        <v>-7.56842999999999</v>
      </c>
      <c r="AR36" s="24">
        <v>110.79086</v>
      </c>
      <c r="AS36" s="20"/>
      <c r="AT36" s="20"/>
      <c r="AU36" s="20"/>
      <c r="AV36" s="20"/>
      <c r="AW36" s="20"/>
    </row>
    <row r="37">
      <c r="A37" s="94">
        <v>32.0</v>
      </c>
      <c r="B37" s="95" t="s">
        <v>353</v>
      </c>
      <c r="C37" s="20">
        <v>-7.5686609</v>
      </c>
      <c r="D37" s="20">
        <v>110.8166249</v>
      </c>
      <c r="E37" s="20"/>
      <c r="F37" s="33">
        <v>32.0</v>
      </c>
      <c r="G37" s="17" t="s">
        <v>191</v>
      </c>
      <c r="H37" s="17">
        <v>-7.5621785</v>
      </c>
      <c r="I37" s="17">
        <v>110.8074437</v>
      </c>
      <c r="J37" s="20"/>
      <c r="K37" s="33">
        <v>32.0</v>
      </c>
      <c r="L37" s="17" t="s">
        <v>201</v>
      </c>
      <c r="M37" s="17">
        <v>-7.5525998</v>
      </c>
      <c r="N37" s="20">
        <v>110.8218411</v>
      </c>
      <c r="O37" s="20"/>
      <c r="P37" s="33">
        <v>32.0</v>
      </c>
      <c r="Q37" s="23" t="s">
        <v>648</v>
      </c>
      <c r="R37" s="24">
        <v>-7.55413999999999</v>
      </c>
      <c r="S37" s="24">
        <v>110.82749</v>
      </c>
      <c r="T37" s="20"/>
      <c r="U37" s="33">
        <v>32.0</v>
      </c>
      <c r="V37" s="17" t="s">
        <v>175</v>
      </c>
      <c r="W37" s="17">
        <v>-7.6625011</v>
      </c>
      <c r="X37" s="17">
        <v>111.9618081</v>
      </c>
      <c r="Y37" s="20"/>
      <c r="Z37" s="33">
        <v>32.0</v>
      </c>
      <c r="AA37" s="13" t="s">
        <v>703</v>
      </c>
      <c r="AB37" s="25">
        <v>-7.583363</v>
      </c>
      <c r="AC37" s="25">
        <v>110.82487</v>
      </c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33">
        <v>32.0</v>
      </c>
      <c r="AP37" s="97" t="s">
        <v>197</v>
      </c>
      <c r="AQ37" s="20">
        <v>-7.5686656</v>
      </c>
      <c r="AR37" s="20">
        <v>110.7899912</v>
      </c>
      <c r="AS37" s="20"/>
      <c r="AT37" s="20"/>
      <c r="AU37" s="20"/>
      <c r="AV37" s="20"/>
      <c r="AW37" s="20"/>
    </row>
    <row r="38">
      <c r="A38" s="33">
        <v>33.0</v>
      </c>
      <c r="B38" s="17" t="s">
        <v>181</v>
      </c>
      <c r="C38" s="17">
        <v>-7.56527</v>
      </c>
      <c r="D38" s="17">
        <v>110.80539</v>
      </c>
      <c r="E38" s="20"/>
      <c r="F38" s="33">
        <v>33.0</v>
      </c>
      <c r="G38" s="17" t="s">
        <v>192</v>
      </c>
      <c r="H38" s="17">
        <v>-7.56372999999999</v>
      </c>
      <c r="I38" s="17">
        <v>110.80648</v>
      </c>
      <c r="J38" s="20"/>
      <c r="K38" s="91">
        <v>33.0</v>
      </c>
      <c r="L38" s="17" t="s">
        <v>202</v>
      </c>
      <c r="M38" s="17">
        <v>-7.57392</v>
      </c>
      <c r="N38" s="17">
        <v>110.88229</v>
      </c>
      <c r="O38" s="20"/>
      <c r="P38" s="33">
        <v>33.0</v>
      </c>
      <c r="Q38" s="23" t="s">
        <v>649</v>
      </c>
      <c r="R38" s="24">
        <v>-7.70115469999999</v>
      </c>
      <c r="S38" s="24">
        <v>110.4472796</v>
      </c>
      <c r="T38" s="20"/>
      <c r="U38" s="91">
        <v>33.0</v>
      </c>
      <c r="V38" s="17" t="s">
        <v>203</v>
      </c>
      <c r="W38" s="17">
        <v>-7.57323</v>
      </c>
      <c r="X38" s="17">
        <v>110.82357</v>
      </c>
      <c r="Y38" s="20"/>
      <c r="Z38" s="33">
        <v>33.0</v>
      </c>
      <c r="AA38" s="13" t="s">
        <v>214</v>
      </c>
      <c r="AB38" s="25">
        <v>-7.58356249999999</v>
      </c>
      <c r="AC38" s="25">
        <v>110.8263556</v>
      </c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91">
        <v>33.0</v>
      </c>
      <c r="AP38" s="28" t="s">
        <v>196</v>
      </c>
      <c r="AQ38" s="25">
        <v>-7.56832</v>
      </c>
      <c r="AR38" s="24">
        <v>110.78806</v>
      </c>
      <c r="AS38" s="20"/>
      <c r="AT38" s="20"/>
      <c r="AU38" s="20"/>
      <c r="AV38" s="20"/>
      <c r="AW38" s="20"/>
    </row>
    <row r="39">
      <c r="A39" s="94">
        <v>34.0</v>
      </c>
      <c r="B39" s="95" t="s">
        <v>274</v>
      </c>
      <c r="C39" s="17">
        <v>-7.56310469999999</v>
      </c>
      <c r="D39" s="17">
        <v>110.8016497</v>
      </c>
      <c r="E39" s="20"/>
      <c r="F39" s="33">
        <v>34.0</v>
      </c>
      <c r="G39" s="17" t="s">
        <v>181</v>
      </c>
      <c r="H39" s="17">
        <v>-7.56527</v>
      </c>
      <c r="I39" s="17">
        <v>110.80539</v>
      </c>
      <c r="J39" s="20"/>
      <c r="K39" s="91">
        <v>34.0</v>
      </c>
      <c r="L39" s="17" t="s">
        <v>203</v>
      </c>
      <c r="M39" s="17">
        <v>-7.57291</v>
      </c>
      <c r="N39" s="17">
        <v>110.82354</v>
      </c>
      <c r="O39" s="20"/>
      <c r="P39" s="33">
        <v>34.0</v>
      </c>
      <c r="Q39" s="23" t="s">
        <v>650</v>
      </c>
      <c r="R39" s="25">
        <v>-7.55463</v>
      </c>
      <c r="S39" s="25">
        <v>110.83393</v>
      </c>
      <c r="T39" s="20"/>
      <c r="U39" s="33">
        <v>34.0</v>
      </c>
      <c r="V39" s="17" t="s">
        <v>202</v>
      </c>
      <c r="W39" s="17">
        <v>-7.57457</v>
      </c>
      <c r="X39" s="17">
        <v>110.82293</v>
      </c>
      <c r="Y39" s="20"/>
      <c r="Z39" s="33">
        <v>34.0</v>
      </c>
      <c r="AA39" s="13" t="s">
        <v>704</v>
      </c>
      <c r="AB39" s="25">
        <v>-7.5849525</v>
      </c>
      <c r="AC39" s="25">
        <v>110.8290043</v>
      </c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33">
        <v>34.0</v>
      </c>
      <c r="AP39" s="23" t="s">
        <v>454</v>
      </c>
      <c r="AQ39" s="24">
        <v>-7.56813</v>
      </c>
      <c r="AR39" s="24">
        <v>110.78669</v>
      </c>
      <c r="AS39" s="20"/>
      <c r="AT39" s="20"/>
      <c r="AU39" s="20"/>
      <c r="AV39" s="20"/>
      <c r="AW39" s="20"/>
    </row>
    <row r="40">
      <c r="A40" s="33">
        <v>35.0</v>
      </c>
      <c r="B40" s="17" t="s">
        <v>237</v>
      </c>
      <c r="C40" s="20">
        <v>-7.5632798</v>
      </c>
      <c r="D40" s="20">
        <v>110.7987311</v>
      </c>
      <c r="E40" s="20"/>
      <c r="F40" s="33">
        <v>35.0</v>
      </c>
      <c r="G40" s="17" t="s">
        <v>274</v>
      </c>
      <c r="H40" s="17">
        <v>-7.56310469999999</v>
      </c>
      <c r="I40" s="17">
        <v>110.8016497</v>
      </c>
      <c r="J40" s="20"/>
      <c r="K40" s="91">
        <v>35.0</v>
      </c>
      <c r="L40" s="17" t="s">
        <v>174</v>
      </c>
      <c r="M40" s="17">
        <v>-7.57210359999999</v>
      </c>
      <c r="N40" s="17">
        <v>110.8238282</v>
      </c>
      <c r="O40" s="20"/>
      <c r="P40" s="33">
        <v>35.0</v>
      </c>
      <c r="Q40" s="23" t="s">
        <v>572</v>
      </c>
      <c r="R40" s="24">
        <v>-7.5561722</v>
      </c>
      <c r="S40" s="24">
        <v>110.8385638</v>
      </c>
      <c r="T40" s="20"/>
      <c r="U40" s="33">
        <v>35.0</v>
      </c>
      <c r="V40" s="17" t="s">
        <v>201</v>
      </c>
      <c r="W40" s="17">
        <v>-7.5525998</v>
      </c>
      <c r="X40" s="20">
        <v>110.8218411</v>
      </c>
      <c r="Y40" s="20"/>
      <c r="Z40" s="60">
        <v>35.0</v>
      </c>
      <c r="AA40" s="13" t="s">
        <v>705</v>
      </c>
      <c r="AB40" s="25">
        <v>-7.58623</v>
      </c>
      <c r="AC40" s="25">
        <v>110.83403</v>
      </c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33">
        <v>35.0</v>
      </c>
      <c r="AP40" s="97" t="s">
        <v>455</v>
      </c>
      <c r="AQ40" s="29">
        <v>-7.57069999999999</v>
      </c>
      <c r="AR40" s="29">
        <v>110.7838272</v>
      </c>
      <c r="AS40" s="20"/>
      <c r="AT40" s="20"/>
      <c r="AU40" s="20"/>
      <c r="AV40" s="20"/>
      <c r="AW40" s="20"/>
    </row>
    <row r="41">
      <c r="A41" s="33">
        <v>36.0</v>
      </c>
      <c r="B41" s="17" t="s">
        <v>238</v>
      </c>
      <c r="C41" s="17">
        <v>-7.5605099</v>
      </c>
      <c r="D41" s="17">
        <v>110.7896978</v>
      </c>
      <c r="E41" s="17"/>
      <c r="F41" s="33">
        <v>36.0</v>
      </c>
      <c r="G41" s="17" t="s">
        <v>275</v>
      </c>
      <c r="H41" s="17">
        <v>-7.56388199999999</v>
      </c>
      <c r="I41" s="17">
        <v>110.7991087</v>
      </c>
      <c r="J41" s="20"/>
      <c r="K41" s="91">
        <v>36.0</v>
      </c>
      <c r="L41" s="17" t="s">
        <v>173</v>
      </c>
      <c r="M41" s="17">
        <v>-7.57198</v>
      </c>
      <c r="N41" s="17">
        <v>110.82808</v>
      </c>
      <c r="O41" s="20"/>
      <c r="P41" s="33">
        <v>36.0</v>
      </c>
      <c r="Q41" s="23" t="s">
        <v>165</v>
      </c>
      <c r="R41" s="24">
        <v>-7.5598806</v>
      </c>
      <c r="S41" s="24">
        <v>110.8371909</v>
      </c>
      <c r="T41" s="20"/>
      <c r="U41" s="91">
        <v>36.0</v>
      </c>
      <c r="V41" s="17" t="s">
        <v>514</v>
      </c>
      <c r="W41" s="17">
        <v>-7.58217</v>
      </c>
      <c r="X41" s="17">
        <v>110.82094</v>
      </c>
      <c r="Y41" s="20"/>
      <c r="Z41" s="33">
        <v>36.0</v>
      </c>
      <c r="AA41" s="13" t="s">
        <v>706</v>
      </c>
      <c r="AB41" s="25">
        <v>-7.58938</v>
      </c>
      <c r="AC41" s="25">
        <v>110.8350067</v>
      </c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33">
        <v>36.0</v>
      </c>
      <c r="AP41" s="23" t="s">
        <v>456</v>
      </c>
      <c r="AQ41" s="25">
        <v>-7.57117</v>
      </c>
      <c r="AR41" s="24">
        <v>110.7839</v>
      </c>
      <c r="AS41" s="20"/>
      <c r="AT41" s="20"/>
      <c r="AU41" s="20"/>
      <c r="AV41" s="20"/>
      <c r="AW41" s="20"/>
    </row>
    <row r="42">
      <c r="A42" s="33">
        <v>37.0</v>
      </c>
      <c r="B42" s="17" t="s">
        <v>239</v>
      </c>
      <c r="C42" s="17">
        <v>-7.55973</v>
      </c>
      <c r="D42" s="17">
        <v>110.78786</v>
      </c>
      <c r="E42" s="20"/>
      <c r="F42" s="33">
        <v>37.0</v>
      </c>
      <c r="G42" s="17" t="s">
        <v>193</v>
      </c>
      <c r="H42" s="17">
        <v>-7.5695177</v>
      </c>
      <c r="I42" s="17">
        <v>110.8250266</v>
      </c>
      <c r="J42" s="20"/>
      <c r="K42" s="33">
        <v>37.0</v>
      </c>
      <c r="L42" s="17" t="s">
        <v>573</v>
      </c>
      <c r="M42" s="17">
        <v>-7.57110669999999</v>
      </c>
      <c r="N42" s="17">
        <v>110.8294726</v>
      </c>
      <c r="O42" s="20"/>
      <c r="P42" s="33">
        <v>37.0</v>
      </c>
      <c r="Q42" s="23" t="s">
        <v>503</v>
      </c>
      <c r="R42" s="24">
        <v>-7.5602845</v>
      </c>
      <c r="S42" s="24">
        <v>110.8402108</v>
      </c>
      <c r="T42" s="20"/>
      <c r="U42" s="33">
        <v>37.0</v>
      </c>
      <c r="V42" s="17" t="s">
        <v>213</v>
      </c>
      <c r="W42" s="17">
        <v>-7.583363</v>
      </c>
      <c r="X42" s="17">
        <v>110.82487</v>
      </c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33">
        <v>37.0</v>
      </c>
      <c r="AP42" s="23" t="s">
        <v>457</v>
      </c>
      <c r="AQ42" s="24">
        <v>-7.57328</v>
      </c>
      <c r="AR42" s="24">
        <v>110.78369</v>
      </c>
      <c r="AS42" s="20"/>
      <c r="AT42" s="20"/>
      <c r="AU42" s="20"/>
      <c r="AV42" s="20"/>
      <c r="AW42" s="20"/>
    </row>
    <row r="43">
      <c r="A43" s="33">
        <v>38.0</v>
      </c>
      <c r="B43" s="17" t="s">
        <v>240</v>
      </c>
      <c r="C43" s="17">
        <v>-7.55853589999999</v>
      </c>
      <c r="D43" s="17">
        <v>110.7842387</v>
      </c>
      <c r="E43" s="20"/>
      <c r="F43" s="33">
        <v>38.0</v>
      </c>
      <c r="G43" s="17" t="s">
        <v>194</v>
      </c>
      <c r="H43" s="17">
        <v>-7.5695802</v>
      </c>
      <c r="I43" s="17">
        <v>110.7971372</v>
      </c>
      <c r="J43" s="20"/>
      <c r="K43" s="33">
        <v>38.0</v>
      </c>
      <c r="L43" s="17" t="s">
        <v>171</v>
      </c>
      <c r="M43" s="17">
        <v>-7.5694476</v>
      </c>
      <c r="N43" s="17">
        <v>110.829594</v>
      </c>
      <c r="O43" s="20"/>
      <c r="P43" s="60">
        <v>38.0</v>
      </c>
      <c r="Q43" s="23" t="s">
        <v>502</v>
      </c>
      <c r="R43" s="24">
        <v>-7.55870479999999</v>
      </c>
      <c r="S43" s="24">
        <v>110.8418721</v>
      </c>
      <c r="T43" s="20"/>
      <c r="U43" s="33">
        <v>38.0</v>
      </c>
      <c r="V43" s="17" t="s">
        <v>214</v>
      </c>
      <c r="W43" s="17">
        <v>-7.58356249999999</v>
      </c>
      <c r="X43" s="17">
        <v>110.8263556</v>
      </c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96">
        <v>38.0</v>
      </c>
      <c r="AP43" s="28" t="s">
        <v>458</v>
      </c>
      <c r="AQ43" s="24">
        <v>-7.5760714</v>
      </c>
      <c r="AR43" s="24">
        <v>110.7823889</v>
      </c>
      <c r="AS43" s="20"/>
      <c r="AT43" s="20"/>
      <c r="AU43" s="20"/>
      <c r="AV43" s="20"/>
      <c r="AW43" s="20"/>
    </row>
    <row r="44">
      <c r="A44" s="33">
        <v>39.0</v>
      </c>
      <c r="B44" s="17" t="s">
        <v>241</v>
      </c>
      <c r="C44" s="17">
        <v>-7.557598</v>
      </c>
      <c r="D44" s="17">
        <v>110.778868</v>
      </c>
      <c r="E44" s="17"/>
      <c r="F44" s="33">
        <v>39.0</v>
      </c>
      <c r="G44" s="17" t="s">
        <v>195</v>
      </c>
      <c r="H44" s="17">
        <v>-7.5690719</v>
      </c>
      <c r="I44" s="17">
        <v>110.7945611</v>
      </c>
      <c r="J44" s="20"/>
      <c r="K44" s="33">
        <v>39.0</v>
      </c>
      <c r="L44" s="17" t="s">
        <v>170</v>
      </c>
      <c r="M44" s="17">
        <v>-7.569377</v>
      </c>
      <c r="N44" s="17">
        <v>110.8315563</v>
      </c>
      <c r="O44" s="20"/>
      <c r="P44" s="60">
        <v>39.0</v>
      </c>
      <c r="Q44" s="23" t="s">
        <v>501</v>
      </c>
      <c r="R44" s="24">
        <v>-7.55916999999999</v>
      </c>
      <c r="S44" s="24">
        <v>110.84424</v>
      </c>
      <c r="T44" s="20"/>
      <c r="U44" s="91">
        <v>39.0</v>
      </c>
      <c r="V44" s="17" t="s">
        <v>215</v>
      </c>
      <c r="W44" s="17">
        <v>-7.58481</v>
      </c>
      <c r="X44" s="17">
        <v>110.83011</v>
      </c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60">
        <v>39.0</v>
      </c>
      <c r="AP44" s="23" t="s">
        <v>459</v>
      </c>
      <c r="AQ44" s="24">
        <v>-7.57762</v>
      </c>
      <c r="AR44" s="24">
        <v>110.78282</v>
      </c>
      <c r="AS44" s="20"/>
      <c r="AT44" s="20"/>
      <c r="AU44" s="20"/>
      <c r="AV44" s="20"/>
      <c r="AW44" s="20"/>
    </row>
    <row r="45">
      <c r="A45" s="33">
        <v>40.0</v>
      </c>
      <c r="B45" s="17" t="s">
        <v>242</v>
      </c>
      <c r="C45" s="17">
        <v>-7.55768</v>
      </c>
      <c r="D45" s="20">
        <v>110.7761661</v>
      </c>
      <c r="E45" s="20"/>
      <c r="F45" s="33">
        <v>40.0</v>
      </c>
      <c r="G45" s="17" t="s">
        <v>276</v>
      </c>
      <c r="H45" s="17">
        <v>-7.56729</v>
      </c>
      <c r="I45" s="17">
        <v>110.79235</v>
      </c>
      <c r="J45" s="20"/>
      <c r="K45" s="33">
        <v>40.0</v>
      </c>
      <c r="L45" s="17" t="s">
        <v>169</v>
      </c>
      <c r="M45" s="17">
        <v>-7.56717999999999</v>
      </c>
      <c r="N45" s="17">
        <v>110.83263</v>
      </c>
      <c r="O45" s="20"/>
      <c r="P45" s="33">
        <v>40.0</v>
      </c>
      <c r="Q45" s="23" t="s">
        <v>510</v>
      </c>
      <c r="R45" s="24">
        <v>-7.5579477</v>
      </c>
      <c r="S45" s="24">
        <v>110.8465221</v>
      </c>
      <c r="T45" s="20"/>
      <c r="U45" s="33">
        <v>40.0</v>
      </c>
      <c r="V45" s="17" t="s">
        <v>216</v>
      </c>
      <c r="W45" s="17">
        <v>-7.5862</v>
      </c>
      <c r="X45" s="17">
        <v>110.83378</v>
      </c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33">
        <v>40.0</v>
      </c>
      <c r="AP45" s="23" t="s">
        <v>460</v>
      </c>
      <c r="AQ45" s="24">
        <v>-7.57922</v>
      </c>
      <c r="AR45" s="24">
        <v>110.78318</v>
      </c>
      <c r="AS45" s="17"/>
      <c r="AT45" s="20"/>
      <c r="AU45" s="20"/>
      <c r="AV45" s="20"/>
      <c r="AW45" s="20"/>
    </row>
    <row r="46">
      <c r="A46" s="33">
        <v>41.0</v>
      </c>
      <c r="B46" s="17" t="s">
        <v>243</v>
      </c>
      <c r="C46" s="17">
        <v>-7.559315</v>
      </c>
      <c r="D46" s="17">
        <v>110.7733186</v>
      </c>
      <c r="E46" s="20"/>
      <c r="F46" s="91">
        <v>41.0</v>
      </c>
      <c r="G46" s="17" t="s">
        <v>277</v>
      </c>
      <c r="H46" s="17">
        <v>-7.56296</v>
      </c>
      <c r="I46" s="17">
        <v>110.79462</v>
      </c>
      <c r="J46" s="20"/>
      <c r="K46" s="33">
        <v>41.0</v>
      </c>
      <c r="L46" s="17" t="s">
        <v>168</v>
      </c>
      <c r="M46" s="17">
        <v>-7.5645116</v>
      </c>
      <c r="N46" s="17">
        <v>110.834624</v>
      </c>
      <c r="O46" s="20"/>
      <c r="P46" s="33">
        <v>41.0</v>
      </c>
      <c r="Q46" s="23" t="s">
        <v>204</v>
      </c>
      <c r="R46" s="24">
        <v>-7.5568</v>
      </c>
      <c r="S46" s="24">
        <v>110.84942</v>
      </c>
      <c r="T46" s="20"/>
      <c r="U46" s="33">
        <v>41.0</v>
      </c>
      <c r="V46" s="17" t="s">
        <v>355</v>
      </c>
      <c r="W46" s="20">
        <v>-7.5873449</v>
      </c>
      <c r="X46" s="20">
        <v>110.8363838</v>
      </c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33">
        <v>41.0</v>
      </c>
      <c r="AP46" s="13" t="s">
        <v>461</v>
      </c>
      <c r="AQ46" s="25">
        <v>-7.5842</v>
      </c>
      <c r="AR46" s="25">
        <v>110.7844</v>
      </c>
      <c r="AS46" s="20"/>
      <c r="AT46" s="20"/>
      <c r="AU46" s="20"/>
      <c r="AV46" s="20"/>
      <c r="AW46" s="20"/>
    </row>
    <row r="47">
      <c r="A47" s="33">
        <v>42.0</v>
      </c>
      <c r="B47" s="17" t="s">
        <v>244</v>
      </c>
      <c r="C47" s="17">
        <v>-7.55909999999999</v>
      </c>
      <c r="D47" s="17">
        <v>110.77134</v>
      </c>
      <c r="E47" s="20"/>
      <c r="F47" s="33">
        <v>42.0</v>
      </c>
      <c r="G47" s="17" t="s">
        <v>278</v>
      </c>
      <c r="H47" s="17">
        <v>-7.5616918</v>
      </c>
      <c r="I47" s="17">
        <v>110.7965074</v>
      </c>
      <c r="J47" s="20"/>
      <c r="K47" s="91">
        <v>42.0</v>
      </c>
      <c r="L47" s="17" t="s">
        <v>167</v>
      </c>
      <c r="M47" s="17">
        <v>-7.56303</v>
      </c>
      <c r="N47" s="17">
        <v>110.83529</v>
      </c>
      <c r="O47" s="20"/>
      <c r="P47" s="60">
        <v>42.0</v>
      </c>
      <c r="Q47" s="23" t="s">
        <v>707</v>
      </c>
      <c r="R47" s="24">
        <v>-7.5560692</v>
      </c>
      <c r="S47" s="24">
        <v>110.8538665</v>
      </c>
      <c r="T47" s="20"/>
      <c r="U47" s="33">
        <v>42.0</v>
      </c>
      <c r="V47" s="17" t="s">
        <v>217</v>
      </c>
      <c r="W47" s="17">
        <v>-7.58941</v>
      </c>
      <c r="X47" s="17">
        <v>110.83498</v>
      </c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33">
        <v>42.0</v>
      </c>
      <c r="AP47" s="13" t="s">
        <v>462</v>
      </c>
      <c r="AQ47" s="25">
        <v>-7.58321</v>
      </c>
      <c r="AR47" s="25">
        <v>110.78354</v>
      </c>
      <c r="AS47" s="20"/>
      <c r="AT47" s="20"/>
      <c r="AU47" s="20"/>
      <c r="AV47" s="20"/>
      <c r="AW47" s="20"/>
    </row>
    <row r="48">
      <c r="A48" s="33">
        <v>43.0</v>
      </c>
      <c r="B48" s="17" t="s">
        <v>245</v>
      </c>
      <c r="C48" s="20">
        <v>-7.5650102</v>
      </c>
      <c r="D48" s="20">
        <v>110.8068005</v>
      </c>
      <c r="E48" s="20"/>
      <c r="F48" s="20"/>
      <c r="G48" s="20"/>
      <c r="H48" s="20"/>
      <c r="I48" s="20"/>
      <c r="J48" s="20"/>
      <c r="K48" s="91">
        <v>43.0</v>
      </c>
      <c r="L48" s="17" t="s">
        <v>166</v>
      </c>
      <c r="M48" s="17">
        <v>-7.56172</v>
      </c>
      <c r="N48" s="17">
        <v>110.83609</v>
      </c>
      <c r="O48" s="20"/>
      <c r="P48" s="33">
        <v>43.0</v>
      </c>
      <c r="Q48" s="23" t="s">
        <v>655</v>
      </c>
      <c r="R48" s="24">
        <v>-7.5550907</v>
      </c>
      <c r="S48" s="24">
        <v>110.8551854</v>
      </c>
      <c r="T48" s="20"/>
      <c r="U48" s="33">
        <v>43.0</v>
      </c>
      <c r="V48" s="17" t="s">
        <v>356</v>
      </c>
      <c r="W48" s="17">
        <v>-7.5895363</v>
      </c>
      <c r="X48" s="17">
        <v>110.8406702</v>
      </c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</row>
    <row r="49">
      <c r="A49" s="33">
        <v>44.0</v>
      </c>
      <c r="B49" s="17" t="s">
        <v>246</v>
      </c>
      <c r="C49" s="17">
        <v>-7.562292</v>
      </c>
      <c r="D49" s="17">
        <v>110.8098311</v>
      </c>
      <c r="E49" s="20"/>
      <c r="F49" s="20"/>
      <c r="G49" s="20"/>
      <c r="H49" s="20"/>
      <c r="I49" s="20"/>
      <c r="J49" s="20"/>
      <c r="K49" s="33">
        <v>44.0</v>
      </c>
      <c r="L49" s="17" t="s">
        <v>165</v>
      </c>
      <c r="M49" s="17">
        <v>-7.5598806</v>
      </c>
      <c r="N49" s="17">
        <v>110.8371909</v>
      </c>
      <c r="O49" s="20"/>
      <c r="P49" s="60">
        <v>44.0</v>
      </c>
      <c r="Q49" s="23" t="s">
        <v>657</v>
      </c>
      <c r="R49" s="24">
        <v>-7.55431</v>
      </c>
      <c r="S49" s="24">
        <v>110.85663</v>
      </c>
      <c r="T49" s="20"/>
      <c r="U49" s="91">
        <v>44.0</v>
      </c>
      <c r="V49" s="17" t="s">
        <v>357</v>
      </c>
      <c r="W49" s="17">
        <v>-7.59259</v>
      </c>
      <c r="X49" s="17">
        <v>110.84584</v>
      </c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</row>
    <row r="50">
      <c r="A50" s="33">
        <v>45.0</v>
      </c>
      <c r="B50" s="17" t="s">
        <v>247</v>
      </c>
      <c r="C50" s="17">
        <v>-7.5609797</v>
      </c>
      <c r="D50" s="17">
        <v>110.7654018</v>
      </c>
      <c r="E50" s="20"/>
      <c r="F50" s="20"/>
      <c r="G50" s="20"/>
      <c r="H50" s="20"/>
      <c r="I50" s="20"/>
      <c r="J50" s="20"/>
      <c r="K50" s="33">
        <v>45.0</v>
      </c>
      <c r="L50" s="17" t="s">
        <v>503</v>
      </c>
      <c r="M50" s="17">
        <v>-7.5602845</v>
      </c>
      <c r="N50" s="17">
        <v>110.8402108</v>
      </c>
      <c r="O50" s="20"/>
      <c r="P50" s="60">
        <v>45.0</v>
      </c>
      <c r="Q50" s="23" t="s">
        <v>658</v>
      </c>
      <c r="R50" s="24">
        <v>-7.55686219999999</v>
      </c>
      <c r="S50" s="24">
        <v>110.860724</v>
      </c>
      <c r="T50" s="20"/>
      <c r="U50" s="91">
        <v>45.0</v>
      </c>
      <c r="V50" s="17" t="s">
        <v>358</v>
      </c>
      <c r="W50" s="17">
        <v>-7.59415</v>
      </c>
      <c r="X50" s="17">
        <v>110.84859</v>
      </c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</row>
    <row r="51">
      <c r="A51" s="33">
        <v>46.0</v>
      </c>
      <c r="B51" s="17" t="s">
        <v>248</v>
      </c>
      <c r="C51" s="17">
        <v>-7.56075</v>
      </c>
      <c r="D51" s="17">
        <v>110.762541</v>
      </c>
      <c r="E51" s="17"/>
      <c r="F51" s="20"/>
      <c r="G51" s="20"/>
      <c r="H51" s="20"/>
      <c r="I51" s="20"/>
      <c r="J51" s="20"/>
      <c r="K51" s="33">
        <v>46.0</v>
      </c>
      <c r="L51" s="17" t="s">
        <v>506</v>
      </c>
      <c r="M51" s="17">
        <v>-7.55870479999999</v>
      </c>
      <c r="N51" s="17">
        <v>110.8418721</v>
      </c>
      <c r="O51" s="20"/>
      <c r="P51" s="91">
        <v>46.0</v>
      </c>
      <c r="Q51" s="28" t="s">
        <v>660</v>
      </c>
      <c r="R51" s="24">
        <v>-7.56008</v>
      </c>
      <c r="S51" s="24">
        <v>110.86052</v>
      </c>
      <c r="T51" s="20"/>
      <c r="U51" s="33">
        <v>46.0</v>
      </c>
      <c r="V51" s="17" t="s">
        <v>359</v>
      </c>
      <c r="W51" s="17">
        <v>-7.5962519</v>
      </c>
      <c r="X51" s="17">
        <v>110.8506027</v>
      </c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</row>
    <row r="52">
      <c r="A52" s="33">
        <v>47.0</v>
      </c>
      <c r="B52" s="17" t="s">
        <v>249</v>
      </c>
      <c r="C52" s="17">
        <v>-7.5673189</v>
      </c>
      <c r="D52" s="17">
        <v>110.7562271</v>
      </c>
      <c r="E52" s="20"/>
      <c r="F52" s="20"/>
      <c r="G52" s="20"/>
      <c r="H52" s="20"/>
      <c r="I52" s="20"/>
      <c r="J52" s="20"/>
      <c r="K52" s="33">
        <v>47.0</v>
      </c>
      <c r="L52" s="17" t="s">
        <v>501</v>
      </c>
      <c r="M52" s="17">
        <v>-7.55916999999999</v>
      </c>
      <c r="N52" s="17">
        <v>110.84424</v>
      </c>
      <c r="O52" s="20"/>
      <c r="P52" s="91">
        <v>47.0</v>
      </c>
      <c r="Q52" s="100" t="s">
        <v>661</v>
      </c>
      <c r="R52" s="24">
        <v>-7.5623</v>
      </c>
      <c r="S52" s="24">
        <v>110.85907</v>
      </c>
      <c r="T52" s="20"/>
      <c r="U52" s="33">
        <v>47.0</v>
      </c>
      <c r="V52" s="17" t="s">
        <v>360</v>
      </c>
      <c r="W52" s="17">
        <v>-7.597319</v>
      </c>
      <c r="X52" s="17">
        <v>110.8539404</v>
      </c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</row>
    <row r="53">
      <c r="A53" s="33">
        <v>48.0</v>
      </c>
      <c r="B53" s="17" t="s">
        <v>250</v>
      </c>
      <c r="C53" s="17">
        <v>-7.559467</v>
      </c>
      <c r="D53" s="17">
        <v>110.75629</v>
      </c>
      <c r="E53" s="17"/>
      <c r="F53" s="20"/>
      <c r="G53" s="20"/>
      <c r="H53" s="20"/>
      <c r="I53" s="20"/>
      <c r="J53" s="20"/>
      <c r="K53" s="33">
        <v>48.0</v>
      </c>
      <c r="L53" s="17" t="s">
        <v>507</v>
      </c>
      <c r="M53" s="17">
        <v>-7.5579477</v>
      </c>
      <c r="N53" s="17">
        <v>110.8465221</v>
      </c>
      <c r="O53" s="20"/>
      <c r="P53" s="60">
        <v>48.0</v>
      </c>
      <c r="Q53" s="23" t="s">
        <v>662</v>
      </c>
      <c r="R53" s="25">
        <v>-7.56521899999999</v>
      </c>
      <c r="S53" s="24">
        <v>110.858743</v>
      </c>
      <c r="T53" s="20"/>
      <c r="U53" s="91">
        <v>48.0</v>
      </c>
      <c r="V53" s="17" t="s">
        <v>361</v>
      </c>
      <c r="W53" s="17">
        <v>-7.5986</v>
      </c>
      <c r="X53" s="17">
        <v>110.85674</v>
      </c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</row>
    <row r="54">
      <c r="A54" s="33">
        <v>49.0</v>
      </c>
      <c r="B54" s="17" t="s">
        <v>251</v>
      </c>
      <c r="C54" s="17">
        <v>-7.558006</v>
      </c>
      <c r="D54" s="17">
        <v>110.75366</v>
      </c>
      <c r="E54" s="17"/>
      <c r="F54" s="20"/>
      <c r="G54" s="20"/>
      <c r="H54" s="20"/>
      <c r="I54" s="20"/>
      <c r="J54" s="20"/>
      <c r="K54" s="33">
        <v>49.0</v>
      </c>
      <c r="L54" s="17" t="s">
        <v>204</v>
      </c>
      <c r="M54" s="17">
        <v>-7.5568</v>
      </c>
      <c r="N54" s="17">
        <v>110.84942</v>
      </c>
      <c r="O54" s="20"/>
      <c r="P54" s="33">
        <v>49.0</v>
      </c>
      <c r="Q54" s="23" t="s">
        <v>512</v>
      </c>
      <c r="R54" s="24">
        <v>-7.5653331</v>
      </c>
      <c r="S54" s="24">
        <v>110.8649</v>
      </c>
      <c r="T54" s="20"/>
      <c r="U54" s="33">
        <v>49.0</v>
      </c>
      <c r="V54" s="17" t="s">
        <v>362</v>
      </c>
      <c r="W54" s="20">
        <v>-7.6004883</v>
      </c>
      <c r="X54" s="17">
        <v>110.86003</v>
      </c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</row>
    <row r="55">
      <c r="A55" s="33">
        <v>50.0</v>
      </c>
      <c r="B55" s="17" t="s">
        <v>252</v>
      </c>
      <c r="C55" s="17">
        <v>-7.5564703</v>
      </c>
      <c r="D55" s="17">
        <v>110.7508007</v>
      </c>
      <c r="E55" s="17"/>
      <c r="F55" s="20"/>
      <c r="G55" s="20"/>
      <c r="H55" s="20"/>
      <c r="I55" s="20"/>
      <c r="J55" s="20"/>
      <c r="K55" s="33">
        <v>50.0</v>
      </c>
      <c r="L55" s="17" t="s">
        <v>205</v>
      </c>
      <c r="M55" s="17">
        <v>-7.5560692</v>
      </c>
      <c r="N55" s="17">
        <v>110.8538665</v>
      </c>
      <c r="O55" s="20"/>
      <c r="P55" s="91">
        <v>50.0</v>
      </c>
      <c r="Q55" s="28" t="s">
        <v>26</v>
      </c>
      <c r="R55" s="24">
        <v>-7.56562</v>
      </c>
      <c r="S55" s="24">
        <v>110.86892</v>
      </c>
      <c r="T55" s="20"/>
      <c r="U55" s="33">
        <v>50.0</v>
      </c>
      <c r="V55" s="17" t="s">
        <v>363</v>
      </c>
      <c r="W55" s="17">
        <v>-7.6046944</v>
      </c>
      <c r="X55" s="17">
        <v>110.8582722</v>
      </c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</row>
    <row r="56">
      <c r="A56" s="33">
        <v>51.0</v>
      </c>
      <c r="B56" s="17" t="s">
        <v>253</v>
      </c>
      <c r="C56" s="17">
        <v>-7.555268</v>
      </c>
      <c r="D56" s="17">
        <v>110.747853</v>
      </c>
      <c r="E56" s="17"/>
      <c r="F56" s="20"/>
      <c r="G56" s="20"/>
      <c r="H56" s="20"/>
      <c r="I56" s="20"/>
      <c r="J56" s="20"/>
      <c r="K56" s="33">
        <v>51.0</v>
      </c>
      <c r="L56" s="17" t="s">
        <v>304</v>
      </c>
      <c r="M56" s="17">
        <v>-7.5550907</v>
      </c>
      <c r="N56" s="17">
        <v>110.8551854</v>
      </c>
      <c r="O56" s="20"/>
      <c r="P56" s="33">
        <v>51.0</v>
      </c>
      <c r="Q56" s="13" t="s">
        <v>513</v>
      </c>
      <c r="R56" s="25">
        <v>-7.56607199999999</v>
      </c>
      <c r="S56" s="25">
        <v>110.87161</v>
      </c>
      <c r="T56" s="20"/>
      <c r="U56" s="33">
        <v>51.0</v>
      </c>
      <c r="V56" s="17" t="s">
        <v>364</v>
      </c>
      <c r="W56" s="17">
        <v>-7.60320379999999</v>
      </c>
      <c r="X56" s="17">
        <v>110.8647059</v>
      </c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</row>
    <row r="57">
      <c r="A57" s="33">
        <v>52.0</v>
      </c>
      <c r="B57" s="17" t="s">
        <v>254</v>
      </c>
      <c r="C57" s="20">
        <v>-7.5715139</v>
      </c>
      <c r="D57" s="20">
        <v>110.8288192</v>
      </c>
      <c r="E57" s="20"/>
      <c r="F57" s="20"/>
      <c r="G57" s="20"/>
      <c r="H57" s="20"/>
      <c r="I57" s="20"/>
      <c r="J57" s="20"/>
      <c r="K57" s="33">
        <v>52.0</v>
      </c>
      <c r="L57" s="17" t="s">
        <v>664</v>
      </c>
      <c r="M57" s="17">
        <v>-7.55431</v>
      </c>
      <c r="N57" s="17">
        <v>110.85663</v>
      </c>
      <c r="O57" s="20"/>
      <c r="P57" s="20"/>
      <c r="Q57" s="20"/>
      <c r="R57" s="20"/>
      <c r="S57" s="20"/>
      <c r="T57" s="20"/>
      <c r="U57" s="33">
        <v>52.0</v>
      </c>
      <c r="V57" s="17" t="s">
        <v>365</v>
      </c>
      <c r="W57" s="17">
        <v>-7.6029344</v>
      </c>
      <c r="X57" s="17">
        <v>110.8690774</v>
      </c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</row>
    <row r="58">
      <c r="A58" s="33">
        <v>53.0</v>
      </c>
      <c r="B58" s="17" t="s">
        <v>255</v>
      </c>
      <c r="C58" s="17">
        <v>-7.553264</v>
      </c>
      <c r="D58" s="17">
        <v>110.7439</v>
      </c>
      <c r="E58" s="17"/>
      <c r="F58" s="20"/>
      <c r="G58" s="20"/>
      <c r="H58" s="20"/>
      <c r="I58" s="20"/>
      <c r="J58" s="20"/>
      <c r="K58" s="33">
        <v>53.0</v>
      </c>
      <c r="L58" s="17" t="s">
        <v>665</v>
      </c>
      <c r="M58" s="17">
        <v>-7.55686219999999</v>
      </c>
      <c r="N58" s="17">
        <v>110.860724</v>
      </c>
      <c r="O58" s="20"/>
      <c r="P58" s="20"/>
      <c r="Q58" s="20"/>
      <c r="R58" s="20"/>
      <c r="S58" s="20"/>
      <c r="T58" s="20"/>
      <c r="U58" s="33">
        <v>53.0</v>
      </c>
      <c r="V58" s="17" t="s">
        <v>366</v>
      </c>
      <c r="W58" s="17">
        <v>-7.60688609999999</v>
      </c>
      <c r="X58" s="17">
        <v>110.8703243</v>
      </c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</row>
    <row r="59">
      <c r="A59" s="33">
        <v>54.0</v>
      </c>
      <c r="B59" s="17" t="s">
        <v>256</v>
      </c>
      <c r="C59" s="17">
        <v>-7.54998209999999</v>
      </c>
      <c r="D59" s="17">
        <v>110.7494964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33">
        <v>54.0</v>
      </c>
      <c r="V59" s="17" t="s">
        <v>367</v>
      </c>
      <c r="W59" s="17">
        <v>-7.60962</v>
      </c>
      <c r="X59" s="17">
        <v>110.87394</v>
      </c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</row>
    <row r="60">
      <c r="A60" s="33">
        <v>55.0</v>
      </c>
      <c r="B60" s="17" t="s">
        <v>257</v>
      </c>
      <c r="C60" s="17">
        <v>-7.548608</v>
      </c>
      <c r="D60" s="17">
        <v>110.743229</v>
      </c>
      <c r="E60" s="17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33">
        <v>55.0</v>
      </c>
      <c r="V60" s="17" t="s">
        <v>368</v>
      </c>
      <c r="W60" s="17">
        <v>-7.6232169</v>
      </c>
      <c r="X60" s="17">
        <v>110.8792447</v>
      </c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</row>
    <row r="61">
      <c r="A61" s="33">
        <v>56.0</v>
      </c>
      <c r="B61" s="17" t="s">
        <v>258</v>
      </c>
      <c r="C61" s="20">
        <v>-7.6328274</v>
      </c>
      <c r="D61" s="20">
        <v>110.8274962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33">
        <v>56.0</v>
      </c>
      <c r="V61" s="17" t="s">
        <v>369</v>
      </c>
      <c r="W61" s="17">
        <v>-7.61143999999999</v>
      </c>
      <c r="X61" s="17">
        <v>110.88542</v>
      </c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</row>
    <row r="62">
      <c r="A62" s="33">
        <v>57.0</v>
      </c>
      <c r="B62" s="17" t="s">
        <v>182</v>
      </c>
      <c r="C62" s="17">
        <v>-7.546158</v>
      </c>
      <c r="D62" s="17">
        <v>110.742928</v>
      </c>
      <c r="E62" s="17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33">
        <v>57.0</v>
      </c>
      <c r="V62" s="17" t="s">
        <v>370</v>
      </c>
      <c r="W62" s="17">
        <v>-7.6128501</v>
      </c>
      <c r="X62" s="17">
        <v>110.8891529</v>
      </c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</row>
    <row r="63">
      <c r="A63" s="33">
        <v>58.0</v>
      </c>
      <c r="B63" s="17" t="s">
        <v>183</v>
      </c>
      <c r="C63" s="17">
        <v>-7.543914</v>
      </c>
      <c r="D63" s="17">
        <v>110.73507</v>
      </c>
      <c r="E63" s="17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33">
        <v>58.0</v>
      </c>
      <c r="V63" s="17" t="s">
        <v>371</v>
      </c>
      <c r="W63" s="17">
        <v>-7.61365999999999</v>
      </c>
      <c r="X63" s="17">
        <v>110.89172</v>
      </c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</row>
    <row r="64">
      <c r="A64" s="33">
        <v>59.0</v>
      </c>
      <c r="B64" s="17" t="s">
        <v>493</v>
      </c>
      <c r="C64" s="20">
        <v>-7.5775936</v>
      </c>
      <c r="D64" s="20">
        <v>110.7833098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</row>
    <row r="65">
      <c r="A65" s="91">
        <v>60.0</v>
      </c>
      <c r="B65" s="17" t="s">
        <v>185</v>
      </c>
      <c r="C65" s="17">
        <v>-7.53789</v>
      </c>
      <c r="D65" s="17">
        <v>110.74588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</row>
    <row r="66">
      <c r="A66" s="33">
        <v>61.0</v>
      </c>
      <c r="B66" s="17" t="s">
        <v>186</v>
      </c>
      <c r="C66" s="17">
        <v>-7.534611</v>
      </c>
      <c r="D66" s="17">
        <v>110.746722</v>
      </c>
      <c r="E66" s="17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</row>
    <row r="67">
      <c r="A67" s="33">
        <v>62.0</v>
      </c>
      <c r="B67" s="17" t="s">
        <v>187</v>
      </c>
      <c r="C67" s="17">
        <v>-7.530962</v>
      </c>
      <c r="D67" s="17">
        <v>110.747637</v>
      </c>
      <c r="E67" s="17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</row>
    <row r="68">
      <c r="A68" s="33">
        <v>63.0</v>
      </c>
      <c r="B68" s="17" t="s">
        <v>259</v>
      </c>
      <c r="C68" s="17">
        <v>-7.527551</v>
      </c>
      <c r="D68" s="17">
        <v>110.74815</v>
      </c>
      <c r="E68" s="17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</row>
    <row r="69">
      <c r="A69" s="91">
        <v>64.0</v>
      </c>
      <c r="B69" s="17" t="s">
        <v>260</v>
      </c>
      <c r="C69" s="17">
        <v>-7.55208</v>
      </c>
      <c r="D69" s="17">
        <v>110.74633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</row>
    <row r="70">
      <c r="A70" s="33">
        <v>65.0</v>
      </c>
      <c r="B70" s="17" t="s">
        <v>261</v>
      </c>
      <c r="C70" s="17">
        <v>-7.512383</v>
      </c>
      <c r="D70" s="17">
        <v>110.74553</v>
      </c>
      <c r="E70" s="17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</row>
    <row r="71">
      <c r="A71" s="33">
        <v>66.0</v>
      </c>
      <c r="B71" s="17" t="s">
        <v>262</v>
      </c>
      <c r="C71" s="20">
        <v>-7.5054722</v>
      </c>
      <c r="D71" s="20">
        <v>110.7477598</v>
      </c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</row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</sheetData>
  <mergeCells count="11">
    <mergeCell ref="AE5:AF5"/>
    <mergeCell ref="AJ5:AK5"/>
    <mergeCell ref="AO5:AP5"/>
    <mergeCell ref="AT5:AU5"/>
    <mergeCell ref="A2:AW3"/>
    <mergeCell ref="A5:B5"/>
    <mergeCell ref="F5:G5"/>
    <mergeCell ref="K5:L5"/>
    <mergeCell ref="P5:Q5"/>
    <mergeCell ref="U5:V5"/>
    <mergeCell ref="Z5:AA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3" max="3" width="24.5"/>
    <col customWidth="1" min="4" max="4" width="74.13"/>
  </cols>
  <sheetData>
    <row r="1">
      <c r="A1" s="101" t="s">
        <v>708</v>
      </c>
      <c r="B1" s="101" t="s">
        <v>709</v>
      </c>
      <c r="C1" s="101" t="s">
        <v>710</v>
      </c>
      <c r="D1" s="101" t="s">
        <v>711</v>
      </c>
    </row>
    <row r="2">
      <c r="A2" s="15" t="s">
        <v>712</v>
      </c>
      <c r="B2" s="2" t="s">
        <v>713</v>
      </c>
      <c r="C2" s="102" t="s">
        <v>714</v>
      </c>
      <c r="D2" s="2" t="s">
        <v>715</v>
      </c>
      <c r="F2" s="92" t="str">
        <f t="shared" ref="F2:F12" si="1">LEFT(C2, FIND(",", C2) - 1)</f>
        <v>-7.5817821</v>
      </c>
      <c r="G2" s="92" t="str">
        <f t="shared" ref="G2:G12" si="2">MID(C2, FIND(",", C2) + 1, LEN(C2))</f>
        <v>110.8314041</v>
      </c>
    </row>
    <row r="3">
      <c r="A3" s="15" t="s">
        <v>716</v>
      </c>
      <c r="B3" s="2" t="s">
        <v>713</v>
      </c>
      <c r="C3" s="102" t="s">
        <v>717</v>
      </c>
      <c r="D3" s="2" t="s">
        <v>718</v>
      </c>
      <c r="F3" s="92" t="str">
        <f t="shared" si="1"/>
        <v>-7.553469</v>
      </c>
      <c r="G3" s="92" t="str">
        <f t="shared" si="2"/>
        <v>110.7444432</v>
      </c>
    </row>
    <row r="4">
      <c r="A4" s="15" t="s">
        <v>719</v>
      </c>
      <c r="B4" s="2" t="s">
        <v>713</v>
      </c>
      <c r="C4" s="102" t="s">
        <v>720</v>
      </c>
      <c r="D4" s="2" t="s">
        <v>721</v>
      </c>
      <c r="F4" s="92" t="str">
        <f t="shared" si="1"/>
        <v>-7.570699999999999</v>
      </c>
      <c r="G4" s="92" t="str">
        <f t="shared" si="2"/>
        <v>110.7838272</v>
      </c>
    </row>
    <row r="5">
      <c r="A5" s="93" t="s">
        <v>475</v>
      </c>
      <c r="B5" s="2" t="s">
        <v>713</v>
      </c>
      <c r="C5" s="102" t="s">
        <v>722</v>
      </c>
      <c r="D5" s="2" t="s">
        <v>723</v>
      </c>
      <c r="F5" s="92" t="str">
        <f t="shared" si="1"/>
        <v>-7.56739</v>
      </c>
      <c r="G5" s="92" t="str">
        <f t="shared" si="2"/>
        <v>110.84744</v>
      </c>
    </row>
    <row r="6">
      <c r="A6" s="93" t="s">
        <v>476</v>
      </c>
      <c r="B6" s="2" t="s">
        <v>713</v>
      </c>
      <c r="C6" s="102" t="s">
        <v>724</v>
      </c>
      <c r="D6" s="2" t="s">
        <v>725</v>
      </c>
      <c r="F6" s="92" t="str">
        <f t="shared" si="1"/>
        <v>-7.5697</v>
      </c>
      <c r="G6" s="92" t="str">
        <f t="shared" si="2"/>
        <v>110.84668</v>
      </c>
    </row>
    <row r="7">
      <c r="A7" s="93" t="s">
        <v>477</v>
      </c>
      <c r="B7" s="2" t="s">
        <v>713</v>
      </c>
      <c r="C7" s="2" t="s">
        <v>726</v>
      </c>
      <c r="D7" s="2" t="s">
        <v>727</v>
      </c>
      <c r="F7" s="92" t="str">
        <f t="shared" si="1"/>
        <v>-7.57028</v>
      </c>
      <c r="G7" s="92" t="str">
        <f t="shared" si="2"/>
        <v>110.8476</v>
      </c>
    </row>
    <row r="8">
      <c r="A8" s="93" t="s">
        <v>478</v>
      </c>
      <c r="B8" s="2" t="s">
        <v>713</v>
      </c>
      <c r="C8" s="2" t="s">
        <v>728</v>
      </c>
      <c r="D8" s="2" t="s">
        <v>729</v>
      </c>
      <c r="F8" s="92" t="str">
        <f t="shared" si="1"/>
        <v>-7.569789999999999</v>
      </c>
      <c r="G8" s="92" t="str">
        <f t="shared" si="2"/>
        <v>110.84972</v>
      </c>
    </row>
    <row r="9">
      <c r="A9" s="93" t="s">
        <v>479</v>
      </c>
      <c r="B9" s="2" t="s">
        <v>713</v>
      </c>
      <c r="C9" s="2" t="s">
        <v>730</v>
      </c>
      <c r="D9" s="2" t="s">
        <v>731</v>
      </c>
      <c r="F9" s="92" t="str">
        <f t="shared" si="1"/>
        <v>-7.56912</v>
      </c>
      <c r="G9" s="92" t="str">
        <f t="shared" si="2"/>
        <v>110.85257</v>
      </c>
    </row>
    <row r="10">
      <c r="A10" s="98" t="s">
        <v>480</v>
      </c>
      <c r="B10" s="2" t="s">
        <v>713</v>
      </c>
      <c r="C10" s="2" t="s">
        <v>732</v>
      </c>
      <c r="D10" s="2" t="s">
        <v>733</v>
      </c>
      <c r="F10" s="92" t="str">
        <f t="shared" si="1"/>
        <v>-7.5683186</v>
      </c>
      <c r="G10" s="92" t="str">
        <f t="shared" si="2"/>
        <v>110.8545831</v>
      </c>
    </row>
    <row r="11">
      <c r="A11" s="93" t="s">
        <v>481</v>
      </c>
      <c r="B11" s="2" t="s">
        <v>713</v>
      </c>
      <c r="C11" s="2" t="s">
        <v>734</v>
      </c>
      <c r="D11" s="2" t="s">
        <v>735</v>
      </c>
      <c r="F11" s="92" t="str">
        <f t="shared" si="1"/>
        <v>-7.56823</v>
      </c>
      <c r="G11" s="92" t="str">
        <f t="shared" si="2"/>
        <v>110.85824</v>
      </c>
    </row>
    <row r="12">
      <c r="A12" s="93" t="s">
        <v>482</v>
      </c>
      <c r="B12" s="2" t="s">
        <v>713</v>
      </c>
      <c r="C12" s="2" t="s">
        <v>736</v>
      </c>
      <c r="D12" s="2" t="s">
        <v>737</v>
      </c>
      <c r="F12" s="92" t="str">
        <f t="shared" si="1"/>
        <v>-7.56701</v>
      </c>
      <c r="G12" s="92" t="str">
        <f t="shared" si="2"/>
        <v>110.86017</v>
      </c>
    </row>
    <row r="13">
      <c r="A13" s="15"/>
    </row>
    <row r="14">
      <c r="A14" s="23"/>
    </row>
    <row r="15">
      <c r="A15" s="17"/>
    </row>
    <row r="16">
      <c r="A16" s="103"/>
    </row>
    <row r="17">
      <c r="A17" s="17"/>
    </row>
    <row r="18">
      <c r="A18" s="23"/>
    </row>
    <row r="19">
      <c r="A19" s="17"/>
    </row>
    <row r="20">
      <c r="A20" s="15"/>
    </row>
    <row r="21">
      <c r="A21" s="17"/>
    </row>
    <row r="22">
      <c r="A22" s="17"/>
    </row>
    <row r="23">
      <c r="A23" s="23"/>
    </row>
    <row r="24">
      <c r="A24" s="23"/>
    </row>
    <row r="25">
      <c r="A25" s="23"/>
    </row>
    <row r="26">
      <c r="A26" s="23"/>
    </row>
    <row r="27">
      <c r="A27" s="15"/>
    </row>
    <row r="28">
      <c r="A28" s="15"/>
    </row>
    <row r="29">
      <c r="A29" s="23"/>
    </row>
    <row r="30">
      <c r="A30" s="15"/>
    </row>
    <row r="31">
      <c r="A31" s="15"/>
    </row>
    <row r="32">
      <c r="A32" s="23"/>
    </row>
    <row r="33">
      <c r="A33" s="23"/>
    </row>
    <row r="34">
      <c r="A34" s="23"/>
    </row>
    <row r="35">
      <c r="A35" s="15"/>
    </row>
    <row r="36">
      <c r="A36" s="23"/>
    </row>
    <row r="37">
      <c r="A37" s="15"/>
    </row>
    <row r="38">
      <c r="A38" s="23"/>
    </row>
    <row r="39">
      <c r="A39" s="23"/>
    </row>
    <row r="40">
      <c r="A40" s="15"/>
    </row>
    <row r="41">
      <c r="A41" s="23"/>
    </row>
    <row r="42">
      <c r="A42" s="23"/>
    </row>
    <row r="43">
      <c r="A43" s="15"/>
    </row>
    <row r="44">
      <c r="A44" s="23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13"/>
    </row>
    <row r="56">
      <c r="A56" s="13"/>
    </row>
    <row r="57">
      <c r="A57" s="13"/>
    </row>
  </sheetData>
  <drawing r:id="rId2"/>
  <legacyDrawing r:id="rId3"/>
</worksheet>
</file>